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codeName="ЭтаКнига" defaultThemeVersion="124226"/>
  <bookViews>
    <workbookView xWindow="240" yWindow="105" windowWidth="14805" windowHeight="8010"/>
  </bookViews>
  <sheets>
    <sheet name="Лист1" sheetId="1" r:id="rId1"/>
    <sheet name="Лист2" sheetId="2" r:id="rId2"/>
    <sheet name="Лист3" sheetId="3" r:id="rId3"/>
  </sheets>
  <calcPr calcId="145621"/>
</workbook>
</file>

<file path=xl/calcChain.xml><?xml version="1.0" encoding="utf-8"?>
<calcChain xmlns="http://schemas.openxmlformats.org/spreadsheetml/2006/main">
  <c r="H14" i="1" l="1"/>
  <c r="I14" i="1"/>
  <c r="J14" i="1"/>
  <c r="K14" i="1"/>
  <c r="L14" i="1"/>
  <c r="M14" i="1"/>
  <c r="N14" i="1"/>
  <c r="O14" i="1"/>
  <c r="P14" i="1"/>
  <c r="Q14" i="1"/>
  <c r="R14" i="1"/>
  <c r="S14" i="1"/>
  <c r="T14" i="1"/>
  <c r="U14" i="1"/>
  <c r="V14" i="1"/>
  <c r="W14" i="1"/>
  <c r="X14" i="1"/>
  <c r="Y14" i="1"/>
  <c r="Z14" i="1"/>
  <c r="AA14" i="1"/>
  <c r="AB14" i="1"/>
  <c r="AC14" i="1"/>
  <c r="AD14" i="1"/>
  <c r="AE14" i="1"/>
  <c r="AF14" i="1"/>
  <c r="AG14" i="1"/>
  <c r="AH14" i="1"/>
  <c r="AI14" i="1"/>
  <c r="G14" i="1"/>
  <c r="C4" i="1"/>
  <c r="AJ12" i="1"/>
  <c r="F12" i="1"/>
  <c r="H11" i="1"/>
  <c r="I11" i="1"/>
  <c r="J11" i="1" s="1"/>
  <c r="K11" i="1" s="1"/>
  <c r="L11" i="1" s="1"/>
  <c r="M11" i="1" s="1"/>
  <c r="N11" i="1" s="1"/>
  <c r="O11" i="1" s="1"/>
  <c r="P11" i="1" s="1"/>
  <c r="Q11" i="1" s="1"/>
  <c r="R11" i="1" s="1"/>
  <c r="S11" i="1" s="1"/>
  <c r="T11" i="1" s="1"/>
  <c r="U11" i="1" s="1"/>
  <c r="V11" i="1" s="1"/>
  <c r="W11" i="1" s="1"/>
  <c r="X11" i="1" s="1"/>
  <c r="Y11" i="1" s="1"/>
  <c r="Z11" i="1" s="1"/>
  <c r="AA11" i="1" s="1"/>
  <c r="AB11" i="1" s="1"/>
  <c r="AC11" i="1" s="1"/>
  <c r="AD11" i="1" s="1"/>
  <c r="AE11" i="1" s="1"/>
  <c r="AF11" i="1" s="1"/>
  <c r="AG11" i="1" s="1"/>
  <c r="AH11" i="1" s="1"/>
  <c r="AI11" i="1" s="1"/>
  <c r="AJ11" i="1" s="1"/>
  <c r="G11" i="1"/>
  <c r="C3" i="1"/>
</calcChain>
</file>

<file path=xl/sharedStrings.xml><?xml version="1.0" encoding="utf-8"?>
<sst xmlns="http://schemas.openxmlformats.org/spreadsheetml/2006/main" count="12" uniqueCount="11">
  <si>
    <t>L</t>
  </si>
  <si>
    <t>dx</t>
  </si>
  <si>
    <t>dt</t>
  </si>
  <si>
    <t>t</t>
  </si>
  <si>
    <t>Cp</t>
  </si>
  <si>
    <t>ro</t>
  </si>
  <si>
    <t>lamda</t>
  </si>
  <si>
    <t>T</t>
  </si>
  <si>
    <t>T_start</t>
  </si>
  <si>
    <t>T_end</t>
  </si>
  <si>
    <t>T_iter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</si>
</sst>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7" formatCode="0.0000"/>
    <numFmt numFmtId="168" formatCode="0.00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167" fontId="0" fillId="0" borderId="1" xfId="0" applyNumberFormat="1" applyBorder="1" applyAlignment="1">
      <alignment horizontal="center"/>
    </xf>
    <xf numFmtId="0" fontId="0" fillId="0" borderId="1" xfId="0" applyBorder="1"/>
    <xf numFmtId="168" fontId="0" fillId="0" borderId="1" xfId="0" applyNumberFormat="1" applyBorder="1"/>
  </cellXfs>
  <cellStyles count="1">
    <cellStyle name="Обычный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607174103237096E-2"/>
          <c:y val="7.4548702245552642E-2"/>
          <c:w val="0.70164348206474192"/>
          <c:h val="0.89719889180519097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Лист1!$F$11:$AJ$11</c:f>
              <c:numCache>
                <c:formatCode>General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Лист1!$F$12:$AJ$12</c:f>
              <c:numCache>
                <c:formatCode>General</c:formatCode>
                <c:ptCount val="31"/>
                <c:pt idx="0">
                  <c:v>300</c:v>
                </c:pt>
                <c:pt idx="1">
                  <c:v>292.63846903429561</c:v>
                </c:pt>
                <c:pt idx="2">
                  <c:v>285.27693806859122</c:v>
                </c:pt>
                <c:pt idx="3">
                  <c:v>277.94577673945821</c:v>
                </c:pt>
                <c:pt idx="4">
                  <c:v>270.6146154103252</c:v>
                </c:pt>
                <c:pt idx="5">
                  <c:v>263.34286592885297</c:v>
                </c:pt>
                <c:pt idx="6">
                  <c:v>256.07111644738075</c:v>
                </c:pt>
                <c:pt idx="7">
                  <c:v>248.88522421045388</c:v>
                </c:pt>
                <c:pt idx="8">
                  <c:v>241.69933197352702</c:v>
                </c:pt>
                <c:pt idx="9">
                  <c:v>234.62198970835087</c:v>
                </c:pt>
                <c:pt idx="10">
                  <c:v>227.54464744317471</c:v>
                </c:pt>
                <c:pt idx="11">
                  <c:v>220.59380341267203</c:v>
                </c:pt>
                <c:pt idx="12">
                  <c:v>213.64295938216935</c:v>
                </c:pt>
                <c:pt idx="13">
                  <c:v>206.83103299977165</c:v>
                </c:pt>
                <c:pt idx="14">
                  <c:v>200.01910661737398</c:v>
                </c:pt>
                <c:pt idx="15">
                  <c:v>193.35244574568748</c:v>
                </c:pt>
                <c:pt idx="16">
                  <c:v>186.68578487400106</c:v>
                </c:pt>
                <c:pt idx="17">
                  <c:v>180.16438851102106</c:v>
                </c:pt>
                <c:pt idx="18">
                  <c:v>173.64299214804117</c:v>
                </c:pt>
                <c:pt idx="19">
                  <c:v>167.26051060040771</c:v>
                </c:pt>
                <c:pt idx="20">
                  <c:v>160.87802905277434</c:v>
                </c:pt>
                <c:pt idx="21">
                  <c:v>154.62204156611185</c:v>
                </c:pt>
                <c:pt idx="22">
                  <c:v>148.36605407944941</c:v>
                </c:pt>
                <c:pt idx="23">
                  <c:v>142.21861177156217</c:v>
                </c:pt>
                <c:pt idx="24">
                  <c:v>136.07116946367495</c:v>
                </c:pt>
                <c:pt idx="25">
                  <c:v>130.00957981683362</c:v>
                </c:pt>
                <c:pt idx="26">
                  <c:v>123.94799016999232</c:v>
                </c:pt>
                <c:pt idx="27">
                  <c:v>117.94580878931706</c:v>
                </c:pt>
                <c:pt idx="28">
                  <c:v>111.94362740864179</c:v>
                </c:pt>
                <c:pt idx="29">
                  <c:v>105.97181370432089</c:v>
                </c:pt>
                <c:pt idx="30">
                  <c:v>100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644992"/>
        <c:axId val="48758144"/>
      </c:scatterChart>
      <c:valAx>
        <c:axId val="626449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8758144"/>
        <c:crosses val="autoZero"/>
        <c:crossBetween val="midCat"/>
      </c:valAx>
      <c:valAx>
        <c:axId val="487581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264499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136072</xdr:colOff>
      <xdr:row>19</xdr:row>
      <xdr:rowOff>54429</xdr:rowOff>
    </xdr:from>
    <xdr:to>
      <xdr:col>14</xdr:col>
      <xdr:colOff>217714</xdr:colOff>
      <xdr:row>37</xdr:row>
      <xdr:rowOff>17689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B2:AJ14"/>
  <sheetViews>
    <sheetView tabSelected="1" topLeftCell="C1" zoomScale="60" zoomScaleNormal="60" workbookViewId="0">
      <selection activeCell="AJ18" sqref="AJ18"/>
    </sheetView>
  </sheetViews>
  <sheetFormatPr defaultRowHeight="15" x14ac:dyDescent="0.25"/>
  <cols>
    <col min="3" max="3" width="9.5703125" bestFit="1" customWidth="1"/>
  </cols>
  <sheetData>
    <row r="2" spans="2:36" x14ac:dyDescent="0.25">
      <c r="B2" s="4" t="s">
        <v>0</v>
      </c>
      <c r="C2" s="4">
        <v>0.1</v>
      </c>
    </row>
    <row r="3" spans="2:36" x14ac:dyDescent="0.25">
      <c r="B3" s="4" t="s">
        <v>1</v>
      </c>
      <c r="C3" s="5">
        <f>C2/30</f>
        <v>3.3333333333333335E-3</v>
      </c>
    </row>
    <row r="4" spans="2:36" x14ac:dyDescent="0.25">
      <c r="B4" s="4" t="s">
        <v>2</v>
      </c>
      <c r="C4" s="5">
        <f>(C8*C7*C3^2)/(2*C9)</f>
        <v>0.4333333333333334</v>
      </c>
    </row>
    <row r="5" spans="2:36" x14ac:dyDescent="0.25">
      <c r="B5" s="4" t="s">
        <v>3</v>
      </c>
      <c r="C5" s="4">
        <v>0</v>
      </c>
      <c r="D5">
        <v>1.4333333333333333</v>
      </c>
    </row>
    <row r="7" spans="2:36" x14ac:dyDescent="0.25">
      <c r="B7" s="4" t="s">
        <v>4</v>
      </c>
      <c r="C7" s="4">
        <v>460</v>
      </c>
    </row>
    <row r="8" spans="2:36" x14ac:dyDescent="0.25">
      <c r="B8" s="4" t="s">
        <v>5</v>
      </c>
      <c r="C8" s="4">
        <v>7800</v>
      </c>
    </row>
    <row r="9" spans="2:36" x14ac:dyDescent="0.25">
      <c r="B9" s="4" t="s">
        <v>6</v>
      </c>
      <c r="C9" s="4">
        <v>46</v>
      </c>
    </row>
    <row r="10" spans="2:36" x14ac:dyDescent="0.25">
      <c r="F10" s="2">
        <v>1</v>
      </c>
      <c r="G10" s="2">
        <v>2</v>
      </c>
      <c r="H10" s="2">
        <v>3</v>
      </c>
      <c r="I10" s="2">
        <v>4</v>
      </c>
      <c r="J10" s="2">
        <v>5</v>
      </c>
      <c r="K10" s="2">
        <v>6</v>
      </c>
      <c r="L10" s="2">
        <v>7</v>
      </c>
      <c r="M10" s="2">
        <v>8</v>
      </c>
      <c r="N10" s="2">
        <v>9</v>
      </c>
      <c r="O10" s="2">
        <v>10</v>
      </c>
      <c r="P10" s="2">
        <v>11</v>
      </c>
      <c r="Q10" s="2">
        <v>12</v>
      </c>
      <c r="R10" s="2">
        <v>13</v>
      </c>
      <c r="S10" s="2">
        <v>14</v>
      </c>
      <c r="T10" s="2">
        <v>15</v>
      </c>
      <c r="U10" s="2">
        <v>16</v>
      </c>
      <c r="V10" s="2">
        <v>17</v>
      </c>
      <c r="W10" s="2">
        <v>18</v>
      </c>
      <c r="X10" s="2">
        <v>19</v>
      </c>
      <c r="Y10" s="2">
        <v>20</v>
      </c>
      <c r="Z10" s="2">
        <v>21</v>
      </c>
      <c r="AA10" s="2">
        <v>22</v>
      </c>
      <c r="AB10" s="2">
        <v>23</v>
      </c>
      <c r="AC10" s="2">
        <v>24</v>
      </c>
      <c r="AD10" s="2">
        <v>25</v>
      </c>
      <c r="AE10" s="2">
        <v>26</v>
      </c>
      <c r="AF10" s="2">
        <v>27</v>
      </c>
      <c r="AG10" s="2">
        <v>28</v>
      </c>
      <c r="AH10" s="2">
        <v>29</v>
      </c>
      <c r="AI10" s="2">
        <v>30</v>
      </c>
      <c r="AJ10" s="2">
        <v>31</v>
      </c>
    </row>
    <row r="11" spans="2:36" x14ac:dyDescent="0.25">
      <c r="B11" s="4" t="s">
        <v>8</v>
      </c>
      <c r="C11" s="4">
        <v>300</v>
      </c>
      <c r="E11" t="s">
        <v>0</v>
      </c>
      <c r="F11" s="3">
        <v>0</v>
      </c>
      <c r="G11" s="3">
        <f>F11+$C$3</f>
        <v>3.3333333333333335E-3</v>
      </c>
      <c r="H11" s="3">
        <f t="shared" ref="H11:AJ11" si="0">G11+$C$3</f>
        <v>6.6666666666666671E-3</v>
      </c>
      <c r="I11" s="3">
        <f t="shared" si="0"/>
        <v>0.01</v>
      </c>
      <c r="J11" s="3">
        <f t="shared" si="0"/>
        <v>1.3333333333333334E-2</v>
      </c>
      <c r="K11" s="3">
        <f t="shared" si="0"/>
        <v>1.6666666666666666E-2</v>
      </c>
      <c r="L11" s="3">
        <f t="shared" si="0"/>
        <v>0.02</v>
      </c>
      <c r="M11" s="3">
        <f t="shared" si="0"/>
        <v>2.3333333333333334E-2</v>
      </c>
      <c r="N11" s="3">
        <f t="shared" si="0"/>
        <v>2.6666666666666668E-2</v>
      </c>
      <c r="O11" s="3">
        <f t="shared" si="0"/>
        <v>3.0000000000000002E-2</v>
      </c>
      <c r="P11" s="3">
        <f t="shared" si="0"/>
        <v>3.3333333333333333E-2</v>
      </c>
      <c r="Q11" s="3">
        <f t="shared" si="0"/>
        <v>3.6666666666666667E-2</v>
      </c>
      <c r="R11" s="3">
        <f t="shared" si="0"/>
        <v>0.04</v>
      </c>
      <c r="S11" s="3">
        <f t="shared" si="0"/>
        <v>4.3333333333333335E-2</v>
      </c>
      <c r="T11" s="3">
        <f t="shared" si="0"/>
        <v>4.6666666666666669E-2</v>
      </c>
      <c r="U11" s="3">
        <f t="shared" si="0"/>
        <v>0.05</v>
      </c>
      <c r="V11" s="3">
        <f t="shared" si="0"/>
        <v>5.3333333333333337E-2</v>
      </c>
      <c r="W11" s="3">
        <f t="shared" si="0"/>
        <v>5.6666666666666671E-2</v>
      </c>
      <c r="X11" s="3">
        <f t="shared" si="0"/>
        <v>6.0000000000000005E-2</v>
      </c>
      <c r="Y11" s="3">
        <f t="shared" si="0"/>
        <v>6.3333333333333339E-2</v>
      </c>
      <c r="Z11" s="3">
        <f t="shared" si="0"/>
        <v>6.6666666666666666E-2</v>
      </c>
      <c r="AA11" s="3">
        <f t="shared" si="0"/>
        <v>6.9999999999999993E-2</v>
      </c>
      <c r="AB11" s="3">
        <f t="shared" si="0"/>
        <v>7.333333333333332E-2</v>
      </c>
      <c r="AC11" s="3">
        <f t="shared" si="0"/>
        <v>7.6666666666666647E-2</v>
      </c>
      <c r="AD11" s="3">
        <f t="shared" si="0"/>
        <v>7.9999999999999974E-2</v>
      </c>
      <c r="AE11" s="3">
        <f t="shared" si="0"/>
        <v>8.3333333333333301E-2</v>
      </c>
      <c r="AF11" s="3">
        <f t="shared" si="0"/>
        <v>8.6666666666666628E-2</v>
      </c>
      <c r="AG11" s="3">
        <f t="shared" si="0"/>
        <v>8.9999999999999955E-2</v>
      </c>
      <c r="AH11" s="3">
        <f t="shared" si="0"/>
        <v>9.3333333333333282E-2</v>
      </c>
      <c r="AI11" s="3">
        <f t="shared" si="0"/>
        <v>9.6666666666666609E-2</v>
      </c>
      <c r="AJ11" s="3">
        <f t="shared" si="0"/>
        <v>9.9999999999999936E-2</v>
      </c>
    </row>
    <row r="12" spans="2:36" x14ac:dyDescent="0.25">
      <c r="B12" s="4" t="s">
        <v>9</v>
      </c>
      <c r="C12" s="4">
        <v>100</v>
      </c>
      <c r="E12" t="s">
        <v>7</v>
      </c>
      <c r="F12" s="1">
        <f>C11</f>
        <v>300</v>
      </c>
      <c r="G12" s="1">
        <v>292.63846903429561</v>
      </c>
      <c r="H12" s="1">
        <v>285.27693806859122</v>
      </c>
      <c r="I12" s="1">
        <v>277.94577673945821</v>
      </c>
      <c r="J12" s="1">
        <v>270.6146154103252</v>
      </c>
      <c r="K12" s="1">
        <v>263.34286592885297</v>
      </c>
      <c r="L12" s="1">
        <v>256.07111644738075</v>
      </c>
      <c r="M12" s="1">
        <v>248.88522421045388</v>
      </c>
      <c r="N12" s="1">
        <v>241.69933197352702</v>
      </c>
      <c r="O12" s="1">
        <v>234.62198970835087</v>
      </c>
      <c r="P12" s="1">
        <v>227.54464744317471</v>
      </c>
      <c r="Q12" s="1">
        <v>220.59380341267203</v>
      </c>
      <c r="R12" s="1">
        <v>213.64295938216935</v>
      </c>
      <c r="S12" s="1">
        <v>206.83103299977165</v>
      </c>
      <c r="T12" s="1">
        <v>200.01910661737398</v>
      </c>
      <c r="U12" s="1">
        <v>193.35244574568748</v>
      </c>
      <c r="V12" s="1">
        <v>186.68578487400106</v>
      </c>
      <c r="W12" s="1">
        <v>180.16438851102106</v>
      </c>
      <c r="X12" s="1">
        <v>173.64299214804117</v>
      </c>
      <c r="Y12" s="1">
        <v>167.26051060040771</v>
      </c>
      <c r="Z12" s="1">
        <v>160.87802905277434</v>
      </c>
      <c r="AA12" s="1">
        <v>154.62204156611185</v>
      </c>
      <c r="AB12" s="1">
        <v>148.36605407944941</v>
      </c>
      <c r="AC12" s="1">
        <v>142.21861177156217</v>
      </c>
      <c r="AD12" s="1">
        <v>136.07116946367495</v>
      </c>
      <c r="AE12" s="1">
        <v>130.00957981683362</v>
      </c>
      <c r="AF12" s="1">
        <v>123.94799016999232</v>
      </c>
      <c r="AG12" s="1">
        <v>117.94580878931706</v>
      </c>
      <c r="AH12" s="1">
        <v>111.94362740864179</v>
      </c>
      <c r="AI12" s="1">
        <v>105.97181370432089</v>
      </c>
      <c r="AJ12" s="1">
        <f>C12</f>
        <v>100</v>
      </c>
    </row>
    <row r="14" spans="2:36" x14ac:dyDescent="0.25">
      <c r="E14" t="s">
        <v>10</v>
      </c>
      <c r="G14">
        <f>G12+(($C$9*$C$4)/($C$8*$C$7))*((H12-2*G12+F12)/($C$3^2))</f>
        <v>292.63846903429561</v>
      </c>
      <c r="H14">
        <f t="shared" ref="H14:AI14" si="1">H12+(($C$9*$C$4)/($C$8*$C$7))*((I12-2*H12+G12)/($C$3^2))</f>
        <v>285.29212288687688</v>
      </c>
      <c r="I14">
        <f t="shared" si="1"/>
        <v>277.94577673945821</v>
      </c>
      <c r="J14">
        <f t="shared" si="1"/>
        <v>270.64432133415562</v>
      </c>
      <c r="K14">
        <f t="shared" si="1"/>
        <v>263.34286592885297</v>
      </c>
      <c r="L14">
        <f t="shared" si="1"/>
        <v>256.11404506965346</v>
      </c>
      <c r="M14">
        <f t="shared" si="1"/>
        <v>248.88522421045388</v>
      </c>
      <c r="N14">
        <f t="shared" si="1"/>
        <v>241.75360695940236</v>
      </c>
      <c r="O14">
        <f t="shared" si="1"/>
        <v>234.62198970835087</v>
      </c>
      <c r="P14">
        <f t="shared" si="1"/>
        <v>227.60789656051145</v>
      </c>
      <c r="Q14">
        <f t="shared" si="1"/>
        <v>220.59380341267203</v>
      </c>
      <c r="R14">
        <f t="shared" si="1"/>
        <v>213.71241820622186</v>
      </c>
      <c r="S14">
        <f t="shared" si="1"/>
        <v>206.83103299977165</v>
      </c>
      <c r="T14">
        <f t="shared" si="1"/>
        <v>200.09173937272956</v>
      </c>
      <c r="U14">
        <f t="shared" si="1"/>
        <v>193.35244574568753</v>
      </c>
      <c r="V14">
        <f t="shared" si="1"/>
        <v>186.75841712835427</v>
      </c>
      <c r="W14">
        <f t="shared" si="1"/>
        <v>180.16438851102112</v>
      </c>
      <c r="X14">
        <f t="shared" si="1"/>
        <v>173.71244955571439</v>
      </c>
      <c r="Y14">
        <f t="shared" si="1"/>
        <v>167.26051060040777</v>
      </c>
      <c r="Z14">
        <f t="shared" si="1"/>
        <v>160.94127608325977</v>
      </c>
      <c r="AA14">
        <f t="shared" si="1"/>
        <v>154.62204156611187</v>
      </c>
      <c r="AB14">
        <f t="shared" si="1"/>
        <v>148.42032666883699</v>
      </c>
      <c r="AC14">
        <f t="shared" si="1"/>
        <v>142.21861177156217</v>
      </c>
      <c r="AD14">
        <f t="shared" si="1"/>
        <v>136.11409579419791</v>
      </c>
      <c r="AE14">
        <f t="shared" si="1"/>
        <v>130.00957981683365</v>
      </c>
      <c r="AF14">
        <f t="shared" si="1"/>
        <v>123.97769430307534</v>
      </c>
      <c r="AG14">
        <f t="shared" si="1"/>
        <v>117.94580878931706</v>
      </c>
      <c r="AH14">
        <f t="shared" si="1"/>
        <v>111.95881124681898</v>
      </c>
      <c r="AI14">
        <f t="shared" si="1"/>
        <v>105.97181370432089</v>
      </c>
    </row>
  </sheetData>
  <conditionalFormatting sqref="F12:AJ12">
    <cfRule type="colorScale" priority="1">
      <colorScale>
        <cfvo type="min"/>
        <cfvo type="percentile" val="50"/>
        <cfvo type="max"/>
        <color rgb="FF0070C0"/>
        <color rgb="FFFFEB84"/>
        <color rgb="FFFF0000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Лист1</vt:lpstr>
      <vt:lpstr>Лист2</vt:lpstr>
      <vt:lpstr>Лист3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2021-02-28T18:40:44Z</dcterms:modified>
</cp:coreProperties>
</file>