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0" yWindow="120" windowWidth="20730" windowHeight="11640"/>
  </bookViews>
  <sheets>
    <sheet name="Лист1" sheetId="1" r:id="rId1"/>
    <sheet name="Лист2" sheetId="4" r:id="rId2"/>
  </sheets>
  <calcPr calcId="145621"/>
  <fileRecoveryPr repairLoad="1"/>
</workbook>
</file>

<file path=xl/calcChain.xml><?xml version="1.0" encoding="utf-8"?>
<calcChain xmlns="http://schemas.openxmlformats.org/spreadsheetml/2006/main">
  <c r="I6" i="1" l="1"/>
  <c r="V61" i="1"/>
  <c r="H39" i="1" l="1"/>
  <c r="H40" i="1"/>
  <c r="H41" i="1"/>
  <c r="H42" i="1"/>
  <c r="H43" i="1"/>
  <c r="J9" i="1"/>
  <c r="K9" i="1"/>
  <c r="L9" i="1"/>
  <c r="M9" i="1"/>
  <c r="N9" i="1"/>
  <c r="O9" i="1"/>
  <c r="P9" i="1"/>
  <c r="J10" i="1"/>
  <c r="K10" i="1"/>
  <c r="L10" i="1"/>
  <c r="M10" i="1"/>
  <c r="N10" i="1"/>
  <c r="O10" i="1"/>
  <c r="P10" i="1"/>
  <c r="J11" i="1"/>
  <c r="K11" i="1"/>
  <c r="L11" i="1"/>
  <c r="M11" i="1"/>
  <c r="N11" i="1"/>
  <c r="O11" i="1"/>
  <c r="P11" i="1"/>
  <c r="J12" i="1"/>
  <c r="K12" i="1"/>
  <c r="L12" i="1"/>
  <c r="M12" i="1"/>
  <c r="N12" i="1"/>
  <c r="O12" i="1"/>
  <c r="P12" i="1"/>
  <c r="J13" i="1"/>
  <c r="K13" i="1"/>
  <c r="L13" i="1"/>
  <c r="M13" i="1"/>
  <c r="N13" i="1"/>
  <c r="O13" i="1"/>
  <c r="P13" i="1"/>
  <c r="J14" i="1"/>
  <c r="K14" i="1"/>
  <c r="L14" i="1"/>
  <c r="M14" i="1"/>
  <c r="N14" i="1"/>
  <c r="O14" i="1"/>
  <c r="P14" i="1"/>
  <c r="J15" i="1"/>
  <c r="K15" i="1"/>
  <c r="L15" i="1"/>
  <c r="M15" i="1"/>
  <c r="N15" i="1"/>
  <c r="O15" i="1"/>
  <c r="P15" i="1"/>
  <c r="I10" i="1"/>
  <c r="I11" i="1"/>
  <c r="I53" i="1" s="1"/>
  <c r="I12" i="1"/>
  <c r="I13" i="1"/>
  <c r="I14" i="1"/>
  <c r="I15" i="1"/>
  <c r="I57" i="1" s="1"/>
  <c r="H15" i="1"/>
  <c r="H14" i="1" s="1"/>
  <c r="H13" i="1" s="1"/>
  <c r="H12" i="1" s="1"/>
  <c r="H11" i="1" s="1"/>
  <c r="H10" i="1" s="1"/>
  <c r="H9" i="1" s="1"/>
  <c r="H8" i="1" s="1"/>
  <c r="H7" i="1" s="1"/>
  <c r="Q9" i="1"/>
  <c r="J6" i="1"/>
  <c r="K6" i="1"/>
  <c r="L6" i="1"/>
  <c r="M6" i="1"/>
  <c r="N6" i="1"/>
  <c r="O6" i="1"/>
  <c r="P6" i="1"/>
  <c r="Q6" i="1"/>
  <c r="R6" i="1"/>
  <c r="S6" i="1"/>
  <c r="T6" i="1"/>
  <c r="U6" i="1"/>
  <c r="I6" i="4"/>
  <c r="J48" i="4" s="1"/>
  <c r="J6" i="4"/>
  <c r="J35" i="4" s="1"/>
  <c r="K6" i="4"/>
  <c r="L6" i="4"/>
  <c r="M6" i="4"/>
  <c r="M35" i="4" s="1"/>
  <c r="N6" i="4"/>
  <c r="O6" i="4"/>
  <c r="P6" i="4"/>
  <c r="Q6" i="4"/>
  <c r="R6" i="4"/>
  <c r="R35" i="4" s="1"/>
  <c r="S6" i="4"/>
  <c r="T6" i="4"/>
  <c r="U6" i="4"/>
  <c r="U35" i="4" s="1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I7" i="4"/>
  <c r="J49" i="4" s="1"/>
  <c r="J7" i="4"/>
  <c r="K49" i="4" s="1"/>
  <c r="K7" i="4"/>
  <c r="L7" i="4"/>
  <c r="M7" i="4"/>
  <c r="L49" i="4" s="1"/>
  <c r="N7" i="4"/>
  <c r="O7" i="4"/>
  <c r="P7" i="4"/>
  <c r="Q7" i="4"/>
  <c r="R49" i="4" s="1"/>
  <c r="R7" i="4"/>
  <c r="S49" i="4" s="1"/>
  <c r="S7" i="4"/>
  <c r="T7" i="4"/>
  <c r="U7" i="4"/>
  <c r="T49" i="4" s="1"/>
  <c r="Z7" i="4"/>
  <c r="I8" i="4"/>
  <c r="J50" i="4" s="1"/>
  <c r="J8" i="4"/>
  <c r="K8" i="4"/>
  <c r="L8" i="4"/>
  <c r="M8" i="4"/>
  <c r="L50" i="4" s="1"/>
  <c r="N8" i="4"/>
  <c r="M50" i="4" s="1"/>
  <c r="O8" i="4"/>
  <c r="P8" i="4"/>
  <c r="Q8" i="4"/>
  <c r="R50" i="4" s="1"/>
  <c r="R8" i="4"/>
  <c r="Q50" i="4" s="1"/>
  <c r="S8" i="4"/>
  <c r="T8" i="4"/>
  <c r="U8" i="4"/>
  <c r="T50" i="4" s="1"/>
  <c r="AI8" i="4"/>
  <c r="AJ8" i="4"/>
  <c r="AK8" i="4"/>
  <c r="AL8" i="4"/>
  <c r="AM8" i="4"/>
  <c r="AN8" i="4"/>
  <c r="H9" i="4"/>
  <c r="H8" i="4" s="1"/>
  <c r="I50" i="4" s="1"/>
  <c r="I9" i="4"/>
  <c r="J51" i="4" s="1"/>
  <c r="J9" i="4"/>
  <c r="K9" i="4"/>
  <c r="L9" i="4"/>
  <c r="M9" i="4"/>
  <c r="N51" i="4" s="1"/>
  <c r="N9" i="4"/>
  <c r="O9" i="4"/>
  <c r="P9" i="4"/>
  <c r="Q9" i="4"/>
  <c r="R51" i="4" s="1"/>
  <c r="R9" i="4"/>
  <c r="S9" i="4"/>
  <c r="T9" i="4"/>
  <c r="U9" i="4"/>
  <c r="M10" i="4"/>
  <c r="L52" i="4" s="1"/>
  <c r="AD10" i="4" s="1"/>
  <c r="N10" i="4"/>
  <c r="M52" i="4" s="1"/>
  <c r="O10" i="4"/>
  <c r="P10" i="4"/>
  <c r="O52" i="4" s="1"/>
  <c r="Q10" i="4"/>
  <c r="Q39" i="4" s="1"/>
  <c r="R10" i="4"/>
  <c r="S10" i="4"/>
  <c r="T10" i="4"/>
  <c r="T39" i="4" s="1"/>
  <c r="U10" i="4"/>
  <c r="T52" i="4" s="1"/>
  <c r="N11" i="4"/>
  <c r="M53" i="4" s="1"/>
  <c r="AE10" i="4" s="1"/>
  <c r="O11" i="4"/>
  <c r="P11" i="4"/>
  <c r="Q11" i="4"/>
  <c r="R53" i="4" s="1"/>
  <c r="R11" i="4"/>
  <c r="S53" i="4" s="1"/>
  <c r="S11" i="4"/>
  <c r="T11" i="4"/>
  <c r="U11" i="4"/>
  <c r="O12" i="4"/>
  <c r="P12" i="4"/>
  <c r="P41" i="4" s="1"/>
  <c r="Q12" i="4"/>
  <c r="R54" i="4" s="1"/>
  <c r="R12" i="4"/>
  <c r="S54" i="4" s="1"/>
  <c r="S68" i="4" s="1"/>
  <c r="S12" i="4"/>
  <c r="S39" i="4" s="1"/>
  <c r="T12" i="4"/>
  <c r="U12" i="4"/>
  <c r="Z12" i="4"/>
  <c r="Z13" i="4" s="1"/>
  <c r="P13" i="4"/>
  <c r="Q13" i="4"/>
  <c r="Q42" i="4" s="1"/>
  <c r="R13" i="4"/>
  <c r="R40" i="4" s="1"/>
  <c r="R68" i="4" s="1"/>
  <c r="S13" i="4"/>
  <c r="T13" i="4"/>
  <c r="U13" i="4"/>
  <c r="U42" i="4" s="1"/>
  <c r="G14" i="4"/>
  <c r="AH8" i="4" s="1"/>
  <c r="Q14" i="4"/>
  <c r="R14" i="4"/>
  <c r="S14" i="4"/>
  <c r="S43" i="4" s="1"/>
  <c r="AK9" i="4" s="1"/>
  <c r="AK11" i="4" s="1"/>
  <c r="T14" i="4"/>
  <c r="T43" i="4" s="1"/>
  <c r="U14" i="4"/>
  <c r="I16" i="4"/>
  <c r="J16" i="4" s="1"/>
  <c r="AB7" i="4" s="1"/>
  <c r="Z20" i="4"/>
  <c r="Z25" i="4"/>
  <c r="Z26" i="4"/>
  <c r="G28" i="4"/>
  <c r="G27" i="4" s="1"/>
  <c r="G26" i="4" s="1"/>
  <c r="G25" i="4" s="1"/>
  <c r="G24" i="4" s="1"/>
  <c r="G23" i="4" s="1"/>
  <c r="G22" i="4" s="1"/>
  <c r="G21" i="4" s="1"/>
  <c r="G20" i="4" s="1"/>
  <c r="G19" i="4" s="1"/>
  <c r="AD21" i="4" s="1"/>
  <c r="I30" i="4"/>
  <c r="J30" i="4" s="1"/>
  <c r="AB20" i="4" s="1"/>
  <c r="K35" i="4"/>
  <c r="L35" i="4"/>
  <c r="S35" i="4"/>
  <c r="T35" i="4"/>
  <c r="T63" i="4" s="1"/>
  <c r="K36" i="4"/>
  <c r="L36" i="4"/>
  <c r="L64" i="4" s="1"/>
  <c r="M36" i="4"/>
  <c r="S36" i="4"/>
  <c r="T36" i="4"/>
  <c r="U36" i="4"/>
  <c r="J37" i="4"/>
  <c r="K37" i="4"/>
  <c r="L37" i="4"/>
  <c r="R37" i="4"/>
  <c r="S37" i="4"/>
  <c r="H38" i="4"/>
  <c r="Z9" i="4" s="1"/>
  <c r="K38" i="4"/>
  <c r="L38" i="4"/>
  <c r="M38" i="4"/>
  <c r="P38" i="4"/>
  <c r="S38" i="4"/>
  <c r="T38" i="4"/>
  <c r="U38" i="4"/>
  <c r="M39" i="4"/>
  <c r="AE9" i="4" s="1"/>
  <c r="AE11" i="4" s="1"/>
  <c r="N39" i="4"/>
  <c r="U39" i="4"/>
  <c r="O40" i="4"/>
  <c r="S40" i="4"/>
  <c r="T40" i="4"/>
  <c r="U40" i="4"/>
  <c r="U41" i="4"/>
  <c r="G42" i="4"/>
  <c r="G41" i="4" s="1"/>
  <c r="G40" i="4" s="1"/>
  <c r="G39" i="4" s="1"/>
  <c r="G38" i="4" s="1"/>
  <c r="G37" i="4" s="1"/>
  <c r="G36" i="4" s="1"/>
  <c r="G35" i="4" s="1"/>
  <c r="G34" i="4" s="1"/>
  <c r="G33" i="4" s="1"/>
  <c r="S42" i="4"/>
  <c r="T42" i="4"/>
  <c r="U43" i="4"/>
  <c r="AM9" i="4" s="1"/>
  <c r="I44" i="4"/>
  <c r="J44" i="4" s="1"/>
  <c r="K44" i="4" s="1"/>
  <c r="L44" i="4" s="1"/>
  <c r="M44" i="4" s="1"/>
  <c r="N44" i="4" s="1"/>
  <c r="O44" i="4" s="1"/>
  <c r="P44" i="4" s="1"/>
  <c r="Q44" i="4" s="1"/>
  <c r="R44" i="4" s="1"/>
  <c r="S44" i="4" s="1"/>
  <c r="T44" i="4" s="1"/>
  <c r="U44" i="4" s="1"/>
  <c r="V44" i="4" s="1"/>
  <c r="R48" i="4"/>
  <c r="Q49" i="4"/>
  <c r="K50" i="4"/>
  <c r="I51" i="4"/>
  <c r="Q51" i="4"/>
  <c r="H52" i="4"/>
  <c r="Z10" i="4" s="1"/>
  <c r="I52" i="4"/>
  <c r="AA10" i="4" s="1"/>
  <c r="J52" i="4"/>
  <c r="AB10" i="4" s="1"/>
  <c r="K52" i="4"/>
  <c r="AC10" i="4" s="1"/>
  <c r="S52" i="4"/>
  <c r="N53" i="4"/>
  <c r="N67" i="4" s="1"/>
  <c r="T53" i="4"/>
  <c r="T54" i="4"/>
  <c r="T68" i="4" s="1"/>
  <c r="R55" i="4"/>
  <c r="S55" i="4"/>
  <c r="G56" i="4"/>
  <c r="G55" i="4" s="1"/>
  <c r="G54" i="4" s="1"/>
  <c r="G53" i="4" s="1"/>
  <c r="G52" i="4" s="1"/>
  <c r="G51" i="4" s="1"/>
  <c r="G50" i="4" s="1"/>
  <c r="G49" i="4" s="1"/>
  <c r="G48" i="4" s="1"/>
  <c r="G47" i="4" s="1"/>
  <c r="T56" i="4"/>
  <c r="Q57" i="4"/>
  <c r="AI10" i="4" s="1"/>
  <c r="R57" i="4"/>
  <c r="AJ10" i="4" s="1"/>
  <c r="S57" i="4"/>
  <c r="AK10" i="4" s="1"/>
  <c r="T57" i="4"/>
  <c r="AL10" i="4" s="1"/>
  <c r="U57" i="4"/>
  <c r="V57" i="4"/>
  <c r="AN10" i="4" s="1"/>
  <c r="I58" i="4"/>
  <c r="J58" i="4" s="1"/>
  <c r="K58" i="4" s="1"/>
  <c r="L58" i="4" s="1"/>
  <c r="M58" i="4" s="1"/>
  <c r="N58" i="4" s="1"/>
  <c r="O58" i="4" s="1"/>
  <c r="P58" i="4" s="1"/>
  <c r="Q58" i="4" s="1"/>
  <c r="R58" i="4" s="1"/>
  <c r="S58" i="4" s="1"/>
  <c r="T58" i="4" s="1"/>
  <c r="U58" i="4" s="1"/>
  <c r="V58" i="4" s="1"/>
  <c r="T67" i="4"/>
  <c r="G70" i="4"/>
  <c r="G69" i="4" s="1"/>
  <c r="G68" i="4" s="1"/>
  <c r="G67" i="4" s="1"/>
  <c r="G66" i="4" s="1"/>
  <c r="G65" i="4" s="1"/>
  <c r="G64" i="4" s="1"/>
  <c r="G63" i="4" s="1"/>
  <c r="G62" i="4" s="1"/>
  <c r="G61" i="4" s="1"/>
  <c r="I72" i="4"/>
  <c r="J72" i="4"/>
  <c r="K72" i="4" s="1"/>
  <c r="L72" i="4" s="1"/>
  <c r="M72" i="4" s="1"/>
  <c r="N72" i="4" s="1"/>
  <c r="O72" i="4" s="1"/>
  <c r="P72" i="4" s="1"/>
  <c r="Q72" i="4" s="1"/>
  <c r="R72" i="4" s="1"/>
  <c r="S72" i="4" s="1"/>
  <c r="T72" i="4" s="1"/>
  <c r="U72" i="4" s="1"/>
  <c r="V72" i="4" s="1"/>
  <c r="I55" i="1" l="1"/>
  <c r="L42" i="1"/>
  <c r="K41" i="1"/>
  <c r="J40" i="1"/>
  <c r="J52" i="1"/>
  <c r="J38" i="1"/>
  <c r="K57" i="1"/>
  <c r="L38" i="1"/>
  <c r="L54" i="1"/>
  <c r="J56" i="1"/>
  <c r="J57" i="1"/>
  <c r="K53" i="1"/>
  <c r="I56" i="1"/>
  <c r="K38" i="1"/>
  <c r="H57" i="1"/>
  <c r="H71" i="1" s="1"/>
  <c r="L57" i="1"/>
  <c r="K56" i="1"/>
  <c r="J55" i="1"/>
  <c r="L53" i="1"/>
  <c r="K52" i="1"/>
  <c r="H53" i="1"/>
  <c r="H67" i="1" s="1"/>
  <c r="I40" i="1"/>
  <c r="J43" i="1"/>
  <c r="L41" i="1"/>
  <c r="K40" i="1"/>
  <c r="J39" i="1"/>
  <c r="L55" i="1"/>
  <c r="J53" i="1"/>
  <c r="L56" i="1"/>
  <c r="K55" i="1"/>
  <c r="J54" i="1"/>
  <c r="L52" i="1"/>
  <c r="L66" i="1" s="1"/>
  <c r="H55" i="1"/>
  <c r="H69" i="1" s="1"/>
  <c r="K54" i="1"/>
  <c r="K43" i="1"/>
  <c r="J42" i="1"/>
  <c r="L40" i="1"/>
  <c r="K39" i="1"/>
  <c r="I43" i="1"/>
  <c r="I71" i="1" s="1"/>
  <c r="H56" i="1"/>
  <c r="H70" i="1" s="1"/>
  <c r="L43" i="1"/>
  <c r="K42" i="1"/>
  <c r="J41" i="1"/>
  <c r="L39" i="1"/>
  <c r="I54" i="1"/>
  <c r="I39" i="1"/>
  <c r="I67" i="1" s="1"/>
  <c r="I41" i="1"/>
  <c r="H54" i="1"/>
  <c r="H68" i="1" s="1"/>
  <c r="I42" i="1"/>
  <c r="Q67" i="4"/>
  <c r="AL9" i="4"/>
  <c r="T71" i="4"/>
  <c r="Z11" i="4"/>
  <c r="J65" i="4"/>
  <c r="AC21" i="4"/>
  <c r="N36" i="4"/>
  <c r="H66" i="4"/>
  <c r="S50" i="4"/>
  <c r="Q48" i="4"/>
  <c r="T41" i="4"/>
  <c r="R39" i="4"/>
  <c r="R67" i="4" s="1"/>
  <c r="S71" i="4"/>
  <c r="T55" i="4"/>
  <c r="Q54" i="4"/>
  <c r="O53" i="4"/>
  <c r="N50" i="4"/>
  <c r="S48" i="4"/>
  <c r="S66" i="4"/>
  <c r="K66" i="4"/>
  <c r="S64" i="4"/>
  <c r="G13" i="4"/>
  <c r="S67" i="4"/>
  <c r="P53" i="4"/>
  <c r="M66" i="4"/>
  <c r="T51" i="4"/>
  <c r="T65" i="4" s="1"/>
  <c r="O38" i="4"/>
  <c r="L51" i="4"/>
  <c r="L65" i="4" s="1"/>
  <c r="AA7" i="4"/>
  <c r="T48" i="4"/>
  <c r="L48" i="4"/>
  <c r="N38" i="4"/>
  <c r="M64" i="4"/>
  <c r="O51" i="4"/>
  <c r="U37" i="4"/>
  <c r="M37" i="4"/>
  <c r="S63" i="4"/>
  <c r="K63" i="4"/>
  <c r="O66" i="4"/>
  <c r="P55" i="4"/>
  <c r="R52" i="4"/>
  <c r="K48" i="4"/>
  <c r="R42" i="4"/>
  <c r="S41" i="4"/>
  <c r="S69" i="4" s="1"/>
  <c r="T66" i="4"/>
  <c r="T37" i="4"/>
  <c r="K64" i="4"/>
  <c r="S56" i="4"/>
  <c r="S70" i="4" s="1"/>
  <c r="P69" i="4"/>
  <c r="Q53" i="4"/>
  <c r="M51" i="4"/>
  <c r="M65" i="4" s="1"/>
  <c r="M49" i="4"/>
  <c r="M63" i="4" s="1"/>
  <c r="M48" i="4"/>
  <c r="L66" i="4"/>
  <c r="AD9" i="4"/>
  <c r="AD11" i="4" s="1"/>
  <c r="P49" i="4"/>
  <c r="N49" i="4"/>
  <c r="O36" i="4"/>
  <c r="AB21" i="4"/>
  <c r="AJ21" i="4"/>
  <c r="AA21" i="4"/>
  <c r="AI21" i="4"/>
  <c r="Z21" i="4"/>
  <c r="AH21" i="4"/>
  <c r="AG21" i="4"/>
  <c r="AF21" i="4"/>
  <c r="AN21" i="4"/>
  <c r="AE21" i="4"/>
  <c r="AM21" i="4"/>
  <c r="Q55" i="4"/>
  <c r="O55" i="4"/>
  <c r="AG10" i="4" s="1"/>
  <c r="P42" i="4"/>
  <c r="P40" i="4"/>
  <c r="O49" i="4"/>
  <c r="P36" i="4"/>
  <c r="O48" i="4"/>
  <c r="N35" i="4"/>
  <c r="N63" i="4" s="1"/>
  <c r="P51" i="4"/>
  <c r="Q36" i="4"/>
  <c r="Q64" i="4" s="1"/>
  <c r="Q38" i="4"/>
  <c r="H51" i="4"/>
  <c r="I36" i="4"/>
  <c r="I64" i="4" s="1"/>
  <c r="I38" i="4"/>
  <c r="P48" i="4"/>
  <c r="N48" i="4"/>
  <c r="O35" i="4"/>
  <c r="O63" i="4" s="1"/>
  <c r="R36" i="4"/>
  <c r="R64" i="4" s="1"/>
  <c r="R38" i="4"/>
  <c r="S51" i="4"/>
  <c r="S65" i="4" s="1"/>
  <c r="J36" i="4"/>
  <c r="J64" i="4" s="1"/>
  <c r="J38" i="4"/>
  <c r="K51" i="4"/>
  <c r="O50" i="4"/>
  <c r="P35" i="4"/>
  <c r="P37" i="4"/>
  <c r="H50" i="4"/>
  <c r="H37" i="4"/>
  <c r="H65" i="4" s="1"/>
  <c r="H7" i="4"/>
  <c r="K65" i="4"/>
  <c r="P39" i="4"/>
  <c r="P67" i="4" s="1"/>
  <c r="J63" i="4"/>
  <c r="Q41" i="4"/>
  <c r="AC9" i="4"/>
  <c r="AC11" i="4" s="1"/>
  <c r="T70" i="4"/>
  <c r="R65" i="4"/>
  <c r="L63" i="4"/>
  <c r="AK21" i="4"/>
  <c r="AL21" i="4"/>
  <c r="K16" i="4"/>
  <c r="O37" i="4"/>
  <c r="M67" i="4"/>
  <c r="Q52" i="4"/>
  <c r="T69" i="4"/>
  <c r="N40" i="4"/>
  <c r="T64" i="4"/>
  <c r="R63" i="4"/>
  <c r="K30" i="4"/>
  <c r="R56" i="4"/>
  <c r="R70" i="4" s="1"/>
  <c r="P56" i="4"/>
  <c r="AH10" i="4" s="1"/>
  <c r="Q43" i="4"/>
  <c r="P50" i="4"/>
  <c r="Q35" i="4"/>
  <c r="Q63" i="4" s="1"/>
  <c r="Q37" i="4"/>
  <c r="Q65" i="4" s="1"/>
  <c r="I35" i="4"/>
  <c r="I37" i="4"/>
  <c r="I65" i="4" s="1"/>
  <c r="AL11" i="4"/>
  <c r="AM10" i="4"/>
  <c r="AM11" i="4" s="1"/>
  <c r="U71" i="4"/>
  <c r="Q56" i="4"/>
  <c r="Q70" i="4" s="1"/>
  <c r="R41" i="4"/>
  <c r="R69" i="4" s="1"/>
  <c r="R43" i="4"/>
  <c r="P54" i="4"/>
  <c r="O41" i="4"/>
  <c r="N54" i="4"/>
  <c r="AF10" i="4" s="1"/>
  <c r="O39" i="4"/>
  <c r="O67" i="4" s="1"/>
  <c r="P52" i="4"/>
  <c r="P66" i="4" s="1"/>
  <c r="N52" i="4"/>
  <c r="N66" i="4" s="1"/>
  <c r="O54" i="4"/>
  <c r="O68" i="4" s="1"/>
  <c r="Q40" i="4"/>
  <c r="Q68" i="4" s="1"/>
  <c r="N37" i="4"/>
  <c r="N65" i="4" s="1"/>
  <c r="AA20" i="4"/>
  <c r="M40" i="1"/>
  <c r="M41" i="1"/>
  <c r="M42" i="1"/>
  <c r="AH6" i="1"/>
  <c r="AG6" i="1"/>
  <c r="AF6" i="1"/>
  <c r="AE6" i="1"/>
  <c r="I69" i="1" l="1"/>
  <c r="J71" i="1"/>
  <c r="L70" i="1"/>
  <c r="K69" i="1"/>
  <c r="L67" i="1"/>
  <c r="L71" i="1"/>
  <c r="K67" i="1"/>
  <c r="J68" i="1"/>
  <c r="J69" i="1"/>
  <c r="J70" i="1"/>
  <c r="I70" i="1"/>
  <c r="L68" i="1"/>
  <c r="K66" i="1"/>
  <c r="K71" i="1"/>
  <c r="K70" i="1"/>
  <c r="K68" i="1"/>
  <c r="I68" i="1"/>
  <c r="J67" i="1"/>
  <c r="L69" i="1"/>
  <c r="O65" i="4"/>
  <c r="P63" i="4"/>
  <c r="N64" i="4"/>
  <c r="AG8" i="4"/>
  <c r="G12" i="4"/>
  <c r="R66" i="4"/>
  <c r="P64" i="4"/>
  <c r="AA9" i="4"/>
  <c r="AA11" i="4" s="1"/>
  <c r="AA12" i="4" s="1"/>
  <c r="I66" i="4"/>
  <c r="AC7" i="4"/>
  <c r="L16" i="4"/>
  <c r="L30" i="4"/>
  <c r="AC20" i="4"/>
  <c r="R71" i="4"/>
  <c r="AJ9" i="4"/>
  <c r="AJ11" i="4" s="1"/>
  <c r="P70" i="4"/>
  <c r="AH9" i="4"/>
  <c r="AH11" i="4" s="1"/>
  <c r="AI9" i="4"/>
  <c r="AI11" i="4" s="1"/>
  <c r="Q71" i="4"/>
  <c r="O69" i="4"/>
  <c r="AG9" i="4"/>
  <c r="AG11" i="4" s="1"/>
  <c r="AF9" i="4"/>
  <c r="AF11" i="4" s="1"/>
  <c r="N68" i="4"/>
  <c r="H49" i="4"/>
  <c r="H36" i="4"/>
  <c r="H64" i="4" s="1"/>
  <c r="H6" i="4"/>
  <c r="I49" i="4"/>
  <c r="I63" i="4" s="1"/>
  <c r="P65" i="4"/>
  <c r="Q66" i="4"/>
  <c r="P68" i="4"/>
  <c r="Q69" i="4"/>
  <c r="O64" i="4"/>
  <c r="J66" i="4"/>
  <c r="AB9" i="4"/>
  <c r="AB11" i="4" s="1"/>
  <c r="Z25" i="1"/>
  <c r="Z26" i="1" s="1"/>
  <c r="Z20" i="1"/>
  <c r="N57" i="1"/>
  <c r="AF10" i="1" s="1"/>
  <c r="O57" i="1"/>
  <c r="AG10" i="1" s="1"/>
  <c r="P57" i="1"/>
  <c r="M54" i="1"/>
  <c r="M68" i="1" s="1"/>
  <c r="M57" i="1"/>
  <c r="AE10" i="1" s="1"/>
  <c r="P43" i="1"/>
  <c r="AH9" i="1" s="1"/>
  <c r="M53" i="1"/>
  <c r="N54" i="1"/>
  <c r="P41" i="1"/>
  <c r="P42" i="1"/>
  <c r="O42" i="1"/>
  <c r="N42" i="1"/>
  <c r="N43" i="1"/>
  <c r="N56" i="1"/>
  <c r="O43" i="1" l="1"/>
  <c r="N71" i="1"/>
  <c r="AF9" i="1"/>
  <c r="AF11" i="1" s="1"/>
  <c r="N52" i="1"/>
  <c r="M39" i="1"/>
  <c r="N70" i="1"/>
  <c r="O39" i="1"/>
  <c r="G11" i="4"/>
  <c r="AF8" i="4"/>
  <c r="N41" i="1"/>
  <c r="O41" i="1"/>
  <c r="P71" i="1"/>
  <c r="AB12" i="4"/>
  <c r="AA13" i="4"/>
  <c r="AD7" i="4"/>
  <c r="M16" i="4"/>
  <c r="H48" i="4"/>
  <c r="H35" i="4"/>
  <c r="H63" i="4" s="1"/>
  <c r="H5" i="4"/>
  <c r="I48" i="4"/>
  <c r="M30" i="4"/>
  <c r="AD20" i="4"/>
  <c r="O40" i="1"/>
  <c r="O56" i="1"/>
  <c r="O70" i="1" s="1"/>
  <c r="N55" i="1"/>
  <c r="M55" i="1"/>
  <c r="M69" i="1" s="1"/>
  <c r="O55" i="1"/>
  <c r="O69" i="1" s="1"/>
  <c r="N39" i="1"/>
  <c r="M56" i="1"/>
  <c r="M70" i="1" s="1"/>
  <c r="O54" i="1"/>
  <c r="N53" i="1"/>
  <c r="N40" i="1"/>
  <c r="N68" i="1" s="1"/>
  <c r="AA20" i="1"/>
  <c r="Z12" i="1"/>
  <c r="Z13" i="1" s="1"/>
  <c r="AI10" i="1"/>
  <c r="AJ8" i="1"/>
  <c r="AK8" i="1"/>
  <c r="AL8" i="1"/>
  <c r="AM8" i="1"/>
  <c r="AN8" i="1"/>
  <c r="AI8" i="1"/>
  <c r="Z7" i="1"/>
  <c r="AJ6" i="1"/>
  <c r="AK6" i="1"/>
  <c r="AL6" i="1"/>
  <c r="AM6" i="1"/>
  <c r="AN6" i="1"/>
  <c r="AI6" i="1"/>
  <c r="AA6" i="1"/>
  <c r="AB6" i="1"/>
  <c r="AC6" i="1"/>
  <c r="AD6" i="1"/>
  <c r="Z6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AJ10" i="1" s="1"/>
  <c r="S57" i="1"/>
  <c r="AK10" i="1" s="1"/>
  <c r="T57" i="1"/>
  <c r="AL10" i="1" s="1"/>
  <c r="U57" i="1"/>
  <c r="AM10" i="1" s="1"/>
  <c r="Q57" i="1"/>
  <c r="V57" i="1"/>
  <c r="AN10" i="1" s="1"/>
  <c r="I52" i="1"/>
  <c r="AA10" i="1" s="1"/>
  <c r="AB10" i="1"/>
  <c r="AC10" i="1"/>
  <c r="H52" i="1"/>
  <c r="Z10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I44" i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AN20" i="1" s="1"/>
  <c r="I16" i="1"/>
  <c r="AA7" i="1" s="1"/>
  <c r="G42" i="1"/>
  <c r="G41" i="1"/>
  <c r="G40" i="1" s="1"/>
  <c r="G39" i="1" s="1"/>
  <c r="G38" i="1" s="1"/>
  <c r="G37" i="1" s="1"/>
  <c r="G36" i="1" s="1"/>
  <c r="G35" i="1" s="1"/>
  <c r="G34" i="1" s="1"/>
  <c r="G33" i="1" s="1"/>
  <c r="Q56" i="1"/>
  <c r="Q11" i="1"/>
  <c r="Q12" i="1"/>
  <c r="P54" i="1" s="1"/>
  <c r="R11" i="1"/>
  <c r="O53" i="1"/>
  <c r="Q8" i="1"/>
  <c r="O52" i="1"/>
  <c r="M8" i="1"/>
  <c r="M38" i="1"/>
  <c r="AE9" i="1" s="1"/>
  <c r="AE11" i="1" s="1"/>
  <c r="I9" i="1"/>
  <c r="S7" i="1"/>
  <c r="O7" i="1"/>
  <c r="AD9" i="1"/>
  <c r="K7" i="1"/>
  <c r="R8" i="1"/>
  <c r="N8" i="1"/>
  <c r="J8" i="1"/>
  <c r="R7" i="1"/>
  <c r="N7" i="1"/>
  <c r="J7" i="1"/>
  <c r="R10" i="1"/>
  <c r="L7" i="1"/>
  <c r="M7" i="1"/>
  <c r="P7" i="1"/>
  <c r="Q7" i="1"/>
  <c r="T7" i="1"/>
  <c r="K8" i="1"/>
  <c r="K37" i="1" s="1"/>
  <c r="L8" i="1"/>
  <c r="L37" i="1" s="1"/>
  <c r="O8" i="1"/>
  <c r="O37" i="1" s="1"/>
  <c r="P8" i="1"/>
  <c r="S8" i="1"/>
  <c r="T8" i="1"/>
  <c r="AB9" i="1"/>
  <c r="S9" i="1"/>
  <c r="H6" i="1"/>
  <c r="H35" i="1" s="1"/>
  <c r="H38" i="1"/>
  <c r="Z9" i="1" s="1"/>
  <c r="G28" i="1"/>
  <c r="G27" i="1" s="1"/>
  <c r="G26" i="1" s="1"/>
  <c r="G25" i="1" s="1"/>
  <c r="G24" i="1" s="1"/>
  <c r="G23" i="1" s="1"/>
  <c r="G22" i="1" s="1"/>
  <c r="G21" i="1" s="1"/>
  <c r="G20" i="1" s="1"/>
  <c r="G19" i="1" s="1"/>
  <c r="G13" i="1"/>
  <c r="AG8" i="1" s="1"/>
  <c r="G14" i="1"/>
  <c r="AH8" i="1" s="1"/>
  <c r="T39" i="1" l="1"/>
  <c r="N69" i="1"/>
  <c r="R37" i="1"/>
  <c r="O67" i="1"/>
  <c r="G10" i="4"/>
  <c r="AE8" i="4"/>
  <c r="O71" i="1"/>
  <c r="AG9" i="1"/>
  <c r="AG11" i="1" s="1"/>
  <c r="G12" i="1"/>
  <c r="G11" i="1" s="1"/>
  <c r="G10" i="1" s="1"/>
  <c r="H5" i="1"/>
  <c r="H33" i="1" s="1"/>
  <c r="P37" i="1"/>
  <c r="J16" i="1"/>
  <c r="AB7" i="1" s="1"/>
  <c r="N67" i="1"/>
  <c r="AB11" i="1"/>
  <c r="I50" i="1"/>
  <c r="AI20" i="1"/>
  <c r="N30" i="4"/>
  <c r="AE20" i="4"/>
  <c r="AC12" i="4"/>
  <c r="AB13" i="4"/>
  <c r="AE7" i="4"/>
  <c r="N16" i="4"/>
  <c r="Z19" i="4"/>
  <c r="H33" i="4"/>
  <c r="H34" i="4"/>
  <c r="I5" i="4"/>
  <c r="Z21" i="1"/>
  <c r="AF21" i="1"/>
  <c r="AN21" i="1"/>
  <c r="AE21" i="1"/>
  <c r="AM21" i="1"/>
  <c r="AD21" i="1"/>
  <c r="AL21" i="1"/>
  <c r="AC21" i="1"/>
  <c r="AK21" i="1"/>
  <c r="AB21" i="1"/>
  <c r="AJ21" i="1"/>
  <c r="AA21" i="1"/>
  <c r="AI21" i="1"/>
  <c r="AH21" i="1"/>
  <c r="AG21" i="1"/>
  <c r="Z11" i="1"/>
  <c r="R42" i="1"/>
  <c r="S55" i="1"/>
  <c r="O38" i="1"/>
  <c r="O66" i="1" s="1"/>
  <c r="T38" i="1"/>
  <c r="R40" i="1"/>
  <c r="S53" i="1"/>
  <c r="T42" i="1"/>
  <c r="S38" i="1"/>
  <c r="S40" i="1"/>
  <c r="P40" i="1"/>
  <c r="P68" i="1" s="1"/>
  <c r="Q53" i="1"/>
  <c r="S52" i="1"/>
  <c r="P38" i="1"/>
  <c r="R43" i="1"/>
  <c r="AJ9" i="1" s="1"/>
  <c r="AJ11" i="1" s="1"/>
  <c r="S56" i="1"/>
  <c r="T41" i="1"/>
  <c r="P39" i="1"/>
  <c r="Q52" i="1"/>
  <c r="S42" i="1"/>
  <c r="T37" i="1"/>
  <c r="R53" i="1"/>
  <c r="AA8" i="1"/>
  <c r="AB8" i="1"/>
  <c r="AJ20" i="1"/>
  <c r="AB20" i="1"/>
  <c r="AC8" i="1"/>
  <c r="AK20" i="1"/>
  <c r="AC20" i="1"/>
  <c r="K16" i="1"/>
  <c r="AC7" i="1" s="1"/>
  <c r="AL20" i="1"/>
  <c r="AD20" i="1"/>
  <c r="H36" i="1"/>
  <c r="Z8" i="1"/>
  <c r="Z19" i="1"/>
  <c r="AM20" i="1"/>
  <c r="AE20" i="1"/>
  <c r="O68" i="1"/>
  <c r="H37" i="1"/>
  <c r="H66" i="1"/>
  <c r="AE8" i="1"/>
  <c r="AF20" i="1"/>
  <c r="AG20" i="1"/>
  <c r="AF8" i="1"/>
  <c r="AH20" i="1"/>
  <c r="Q55" i="1"/>
  <c r="P53" i="1"/>
  <c r="P56" i="1"/>
  <c r="P70" i="1" s="1"/>
  <c r="Q41" i="1"/>
  <c r="R54" i="1"/>
  <c r="T40" i="1"/>
  <c r="L51" i="1"/>
  <c r="L65" i="1" s="1"/>
  <c r="M49" i="1"/>
  <c r="U43" i="1"/>
  <c r="U71" i="1" s="1"/>
  <c r="Q49" i="1"/>
  <c r="J51" i="1"/>
  <c r="O50" i="1"/>
  <c r="R50" i="1"/>
  <c r="N51" i="1"/>
  <c r="P50" i="1"/>
  <c r="H51" i="1"/>
  <c r="R49" i="1"/>
  <c r="AC9" i="1"/>
  <c r="AC11" i="1" s="1"/>
  <c r="K49" i="1"/>
  <c r="M50" i="1"/>
  <c r="L36" i="1"/>
  <c r="N37" i="1"/>
  <c r="N50" i="1"/>
  <c r="S49" i="1"/>
  <c r="L49" i="1"/>
  <c r="L50" i="1"/>
  <c r="J66" i="1"/>
  <c r="M52" i="1"/>
  <c r="M66" i="1" s="1"/>
  <c r="Q43" i="1"/>
  <c r="J37" i="1"/>
  <c r="P36" i="1"/>
  <c r="I38" i="1"/>
  <c r="T43" i="1"/>
  <c r="K50" i="1"/>
  <c r="S50" i="1"/>
  <c r="K36" i="1"/>
  <c r="K51" i="1"/>
  <c r="K65" i="1" s="1"/>
  <c r="Q50" i="1"/>
  <c r="P49" i="1"/>
  <c r="I49" i="1"/>
  <c r="T36" i="1"/>
  <c r="J36" i="1"/>
  <c r="O49" i="1"/>
  <c r="N49" i="1"/>
  <c r="M36" i="1"/>
  <c r="S36" i="1"/>
  <c r="O36" i="1"/>
  <c r="I51" i="1"/>
  <c r="T53" i="1"/>
  <c r="T54" i="1"/>
  <c r="R9" i="1"/>
  <c r="Q51" i="1" s="1"/>
  <c r="Q10" i="1"/>
  <c r="Q37" i="1" s="1"/>
  <c r="T55" i="1"/>
  <c r="Q13" i="1"/>
  <c r="S41" i="1"/>
  <c r="P51" i="1"/>
  <c r="S37" i="1"/>
  <c r="S70" i="1" l="1"/>
  <c r="T67" i="1"/>
  <c r="R71" i="1"/>
  <c r="P65" i="1"/>
  <c r="H65" i="1"/>
  <c r="S69" i="1"/>
  <c r="P67" i="1"/>
  <c r="H34" i="1"/>
  <c r="Z22" i="1" s="1"/>
  <c r="I5" i="1"/>
  <c r="H47" i="1"/>
  <c r="Z23" i="1" s="1"/>
  <c r="R68" i="1"/>
  <c r="G9" i="1"/>
  <c r="G8" i="1" s="1"/>
  <c r="G7" i="1" s="1"/>
  <c r="G6" i="1" s="1"/>
  <c r="G5" i="1" s="1"/>
  <c r="B6" i="1" s="1"/>
  <c r="AD8" i="1"/>
  <c r="Z8" i="4"/>
  <c r="AB8" i="4"/>
  <c r="G9" i="4"/>
  <c r="G8" i="4" s="1"/>
  <c r="G7" i="4" s="1"/>
  <c r="G6" i="4" s="1"/>
  <c r="G5" i="4" s="1"/>
  <c r="B6" i="4" s="1"/>
  <c r="V14" i="4" s="1"/>
  <c r="AA8" i="4"/>
  <c r="AD8" i="4"/>
  <c r="AC8" i="4"/>
  <c r="Z22" i="4"/>
  <c r="Z24" i="4" s="1"/>
  <c r="H62" i="4"/>
  <c r="AF7" i="4"/>
  <c r="O16" i="4"/>
  <c r="AA19" i="4"/>
  <c r="I33" i="4"/>
  <c r="I34" i="4"/>
  <c r="J5" i="4"/>
  <c r="O30" i="4"/>
  <c r="AF20" i="4"/>
  <c r="AD12" i="4"/>
  <c r="AC13" i="4"/>
  <c r="H47" i="4"/>
  <c r="Z23" i="4" s="1"/>
  <c r="R41" i="1"/>
  <c r="S54" i="1"/>
  <c r="S68" i="1" s="1"/>
  <c r="Q54" i="1"/>
  <c r="R55" i="1"/>
  <c r="Q42" i="1"/>
  <c r="Q70" i="1" s="1"/>
  <c r="P55" i="1"/>
  <c r="P69" i="1" s="1"/>
  <c r="T56" i="1"/>
  <c r="T70" i="1" s="1"/>
  <c r="S43" i="1"/>
  <c r="R51" i="1"/>
  <c r="R65" i="1" s="1"/>
  <c r="Q38" i="1"/>
  <c r="Q66" i="1" s="1"/>
  <c r="L16" i="1"/>
  <c r="AD7" i="1" s="1"/>
  <c r="S39" i="1"/>
  <c r="S67" i="1" s="1"/>
  <c r="S51" i="1"/>
  <c r="S65" i="1" s="1"/>
  <c r="R38" i="1"/>
  <c r="N38" i="1"/>
  <c r="N66" i="1" s="1"/>
  <c r="O51" i="1"/>
  <c r="O65" i="1" s="1"/>
  <c r="Q39" i="1"/>
  <c r="Q67" i="1" s="1"/>
  <c r="R52" i="1"/>
  <c r="P52" i="1"/>
  <c r="P66" i="1" s="1"/>
  <c r="R39" i="1"/>
  <c r="R67" i="1" s="1"/>
  <c r="S66" i="1"/>
  <c r="R56" i="1"/>
  <c r="R70" i="1" s="1"/>
  <c r="T68" i="1"/>
  <c r="AH10" i="1"/>
  <c r="AH11" i="1" s="1"/>
  <c r="Q69" i="1"/>
  <c r="Q65" i="1"/>
  <c r="Q40" i="1"/>
  <c r="T69" i="1"/>
  <c r="O64" i="1"/>
  <c r="K64" i="1"/>
  <c r="N65" i="1"/>
  <c r="AM9" i="1"/>
  <c r="AM11" i="1" s="1"/>
  <c r="M64" i="1"/>
  <c r="P64" i="1"/>
  <c r="J65" i="1"/>
  <c r="S64" i="1"/>
  <c r="N36" i="1"/>
  <c r="N64" i="1" s="1"/>
  <c r="AA9" i="1"/>
  <c r="I66" i="1"/>
  <c r="Q71" i="1"/>
  <c r="AI9" i="1"/>
  <c r="AI11" i="1" s="1"/>
  <c r="U42" i="1"/>
  <c r="U40" i="1"/>
  <c r="AL9" i="1"/>
  <c r="AL11" i="1" s="1"/>
  <c r="T71" i="1"/>
  <c r="U41" i="1"/>
  <c r="L64" i="1"/>
  <c r="M51" i="1"/>
  <c r="R36" i="1"/>
  <c r="R64" i="1" s="1"/>
  <c r="AD10" i="1"/>
  <c r="AD11" i="1" s="1"/>
  <c r="M37" i="1"/>
  <c r="Q36" i="1"/>
  <c r="Q64" i="1" s="1"/>
  <c r="T52" i="1"/>
  <c r="T66" i="1" s="1"/>
  <c r="I7" i="1"/>
  <c r="I8" i="1"/>
  <c r="R66" i="1" l="1"/>
  <c r="R69" i="1"/>
  <c r="Q68" i="1"/>
  <c r="V56" i="1"/>
  <c r="V43" i="1"/>
  <c r="U56" i="1"/>
  <c r="U70" i="1" s="1"/>
  <c r="AA11" i="1"/>
  <c r="AA12" i="1" s="1"/>
  <c r="H61" i="1"/>
  <c r="AA19" i="1"/>
  <c r="J5" i="1"/>
  <c r="V43" i="4"/>
  <c r="V56" i="4"/>
  <c r="V13" i="4"/>
  <c r="U56" i="4"/>
  <c r="U70" i="4" s="1"/>
  <c r="Z24" i="1"/>
  <c r="AA22" i="4"/>
  <c r="I62" i="4"/>
  <c r="P30" i="4"/>
  <c r="AG20" i="4"/>
  <c r="AB19" i="4"/>
  <c r="J33" i="4"/>
  <c r="J34" i="4"/>
  <c r="K5" i="4"/>
  <c r="AE12" i="4"/>
  <c r="AD13" i="4"/>
  <c r="AG7" i="4"/>
  <c r="P16" i="4"/>
  <c r="H61" i="4"/>
  <c r="M16" i="1"/>
  <c r="U39" i="1"/>
  <c r="J50" i="1"/>
  <c r="J64" i="1" s="1"/>
  <c r="I37" i="1"/>
  <c r="I65" i="1" s="1"/>
  <c r="H50" i="1"/>
  <c r="H64" i="1" s="1"/>
  <c r="M67" i="1"/>
  <c r="AK9" i="1"/>
  <c r="AK11" i="1" s="1"/>
  <c r="S71" i="1"/>
  <c r="I36" i="1"/>
  <c r="I64" i="1" s="1"/>
  <c r="I34" i="1"/>
  <c r="H49" i="1"/>
  <c r="H63" i="1" s="1"/>
  <c r="J49" i="1"/>
  <c r="M65" i="1"/>
  <c r="T51" i="1"/>
  <c r="T65" i="1" s="1"/>
  <c r="AB12" i="1" l="1"/>
  <c r="AB13" i="1" s="1"/>
  <c r="AA13" i="1"/>
  <c r="AN9" i="4"/>
  <c r="AN11" i="4" s="1"/>
  <c r="V71" i="4"/>
  <c r="AB19" i="1"/>
  <c r="K5" i="1"/>
  <c r="J34" i="1"/>
  <c r="AB22" i="1" s="1"/>
  <c r="AN9" i="1"/>
  <c r="AN11" i="1" s="1"/>
  <c r="V71" i="1"/>
  <c r="M43" i="1"/>
  <c r="M71" i="1" s="1"/>
  <c r="AE7" i="1"/>
  <c r="V42" i="4"/>
  <c r="V70" i="4" s="1"/>
  <c r="V12" i="4"/>
  <c r="V55" i="4"/>
  <c r="U55" i="4"/>
  <c r="U69" i="4" s="1"/>
  <c r="U55" i="1"/>
  <c r="U69" i="1" s="1"/>
  <c r="V55" i="1"/>
  <c r="V42" i="1"/>
  <c r="V70" i="1" s="1"/>
  <c r="Q30" i="4"/>
  <c r="AH20" i="4"/>
  <c r="Q16" i="4"/>
  <c r="AH7" i="4"/>
  <c r="AF12" i="4"/>
  <c r="AE13" i="4"/>
  <c r="AB22" i="4"/>
  <c r="J62" i="4"/>
  <c r="L5" i="4"/>
  <c r="AC19" i="4"/>
  <c r="K34" i="4"/>
  <c r="K33" i="4"/>
  <c r="I47" i="4"/>
  <c r="N16" i="1"/>
  <c r="AF7" i="1" s="1"/>
  <c r="AA22" i="1"/>
  <c r="U38" i="1"/>
  <c r="H48" i="1"/>
  <c r="H62" i="1" s="1"/>
  <c r="I35" i="1"/>
  <c r="I63" i="1" s="1"/>
  <c r="I33" i="1"/>
  <c r="AC12" i="1" l="1"/>
  <c r="AC13" i="1" s="1"/>
  <c r="U54" i="1"/>
  <c r="U68" i="1" s="1"/>
  <c r="V54" i="1"/>
  <c r="V41" i="1"/>
  <c r="V69" i="1" s="1"/>
  <c r="L5" i="1"/>
  <c r="I47" i="1"/>
  <c r="AA23" i="1" s="1"/>
  <c r="AA24" i="1" s="1"/>
  <c r="AA25" i="1" s="1"/>
  <c r="AA26" i="1" s="1"/>
  <c r="K34" i="1"/>
  <c r="AC22" i="1" s="1"/>
  <c r="AC19" i="1"/>
  <c r="V41" i="4"/>
  <c r="V69" i="4" s="1"/>
  <c r="V11" i="4"/>
  <c r="U54" i="4"/>
  <c r="U68" i="4" s="1"/>
  <c r="V54" i="4"/>
  <c r="K62" i="4"/>
  <c r="AC22" i="4"/>
  <c r="R30" i="4"/>
  <c r="AI20" i="4"/>
  <c r="AA23" i="4"/>
  <c r="AA24" i="4" s="1"/>
  <c r="AA25" i="4" s="1"/>
  <c r="I61" i="4"/>
  <c r="AF13" i="4"/>
  <c r="AG12" i="4"/>
  <c r="R16" i="4"/>
  <c r="AI7" i="4"/>
  <c r="M5" i="4"/>
  <c r="L34" i="4"/>
  <c r="L33" i="4"/>
  <c r="AD19" i="4"/>
  <c r="J47" i="4"/>
  <c r="O16" i="1"/>
  <c r="AG7" i="1" s="1"/>
  <c r="U37" i="1"/>
  <c r="T50" i="1"/>
  <c r="T64" i="1" s="1"/>
  <c r="J33" i="1"/>
  <c r="J35" i="1"/>
  <c r="J63" i="1" s="1"/>
  <c r="I48" i="1"/>
  <c r="I62" i="1" s="1"/>
  <c r="U7" i="1"/>
  <c r="AD12" i="1" l="1"/>
  <c r="AD13" i="1" s="1"/>
  <c r="U53" i="1"/>
  <c r="U67" i="1" s="1"/>
  <c r="V53" i="1"/>
  <c r="V40" i="1"/>
  <c r="V68" i="1" s="1"/>
  <c r="I61" i="1"/>
  <c r="V10" i="4"/>
  <c r="U53" i="4"/>
  <c r="U67" i="4" s="1"/>
  <c r="V53" i="4"/>
  <c r="V40" i="4"/>
  <c r="V68" i="4" s="1"/>
  <c r="AD19" i="1"/>
  <c r="J47" i="1"/>
  <c r="AB23" i="1" s="1"/>
  <c r="AB24" i="1" s="1"/>
  <c r="AB25" i="1" s="1"/>
  <c r="M5" i="1"/>
  <c r="L34" i="1"/>
  <c r="AD22" i="1" s="1"/>
  <c r="L62" i="4"/>
  <c r="AD22" i="4"/>
  <c r="AJ20" i="4"/>
  <c r="S30" i="4"/>
  <c r="AB25" i="4"/>
  <c r="AA26" i="4"/>
  <c r="AB23" i="4"/>
  <c r="AB24" i="4" s="1"/>
  <c r="J61" i="4"/>
  <c r="N5" i="4"/>
  <c r="AE19" i="4"/>
  <c r="M33" i="4"/>
  <c r="M34" i="4"/>
  <c r="K47" i="4"/>
  <c r="AG13" i="4"/>
  <c r="AH12" i="4"/>
  <c r="AJ7" i="4"/>
  <c r="S16" i="4"/>
  <c r="P16" i="1"/>
  <c r="AH7" i="1" s="1"/>
  <c r="U36" i="1"/>
  <c r="T49" i="1"/>
  <c r="K35" i="1"/>
  <c r="K63" i="1" s="1"/>
  <c r="K33" i="1"/>
  <c r="J48" i="1"/>
  <c r="J62" i="1" s="1"/>
  <c r="AE12" i="1" l="1"/>
  <c r="AE13" i="1" s="1"/>
  <c r="J61" i="1"/>
  <c r="V39" i="1"/>
  <c r="V67" i="1" s="1"/>
  <c r="U52" i="1"/>
  <c r="U66" i="1" s="1"/>
  <c r="V52" i="1"/>
  <c r="AB26" i="1"/>
  <c r="N5" i="1"/>
  <c r="AE19" i="1"/>
  <c r="K47" i="1"/>
  <c r="AC23" i="1" s="1"/>
  <c r="AC24" i="1" s="1"/>
  <c r="AC25" i="1" s="1"/>
  <c r="M34" i="1"/>
  <c r="AE22" i="1" s="1"/>
  <c r="U52" i="4"/>
  <c r="U66" i="4" s="1"/>
  <c r="V39" i="4"/>
  <c r="V67" i="4" s="1"/>
  <c r="V9" i="4"/>
  <c r="V52" i="4"/>
  <c r="AI12" i="4"/>
  <c r="AH13" i="4"/>
  <c r="AF19" i="4"/>
  <c r="N33" i="4"/>
  <c r="N34" i="4"/>
  <c r="O5" i="4"/>
  <c r="L47" i="4"/>
  <c r="AK7" i="4"/>
  <c r="T16" i="4"/>
  <c r="AK20" i="4"/>
  <c r="T30" i="4"/>
  <c r="M62" i="4"/>
  <c r="AE22" i="4"/>
  <c r="AB26" i="4"/>
  <c r="AC23" i="4"/>
  <c r="AC24" i="4" s="1"/>
  <c r="AC25" i="4" s="1"/>
  <c r="K61" i="4"/>
  <c r="Q16" i="1"/>
  <c r="AI7" i="1" s="1"/>
  <c r="L33" i="1"/>
  <c r="L35" i="1"/>
  <c r="L63" i="1" s="1"/>
  <c r="K48" i="1"/>
  <c r="K62" i="1" s="1"/>
  <c r="AF12" i="1" l="1"/>
  <c r="AF13" i="1" s="1"/>
  <c r="AC26" i="1"/>
  <c r="V51" i="4"/>
  <c r="V38" i="4"/>
  <c r="V66" i="4" s="1"/>
  <c r="V8" i="4"/>
  <c r="U51" i="4"/>
  <c r="U65" i="4" s="1"/>
  <c r="V38" i="1"/>
  <c r="V66" i="1" s="1"/>
  <c r="V51" i="1"/>
  <c r="U51" i="1"/>
  <c r="U65" i="1" s="1"/>
  <c r="O5" i="1"/>
  <c r="AF19" i="1"/>
  <c r="L47" i="1"/>
  <c r="AD23" i="1" s="1"/>
  <c r="AD24" i="1" s="1"/>
  <c r="AD25" i="1" s="1"/>
  <c r="N34" i="1"/>
  <c r="AF22" i="1" s="1"/>
  <c r="K61" i="1"/>
  <c r="AC26" i="4"/>
  <c r="N62" i="4"/>
  <c r="AF22" i="4"/>
  <c r="U30" i="4"/>
  <c r="AL20" i="4"/>
  <c r="AG19" i="4"/>
  <c r="O33" i="4"/>
  <c r="O34" i="4"/>
  <c r="P5" i="4"/>
  <c r="M47" i="4"/>
  <c r="AJ12" i="4"/>
  <c r="AI13" i="4"/>
  <c r="AL7" i="4"/>
  <c r="U16" i="4"/>
  <c r="AD23" i="4"/>
  <c r="AD24" i="4" s="1"/>
  <c r="AD25" i="4" s="1"/>
  <c r="L61" i="4"/>
  <c r="R16" i="1"/>
  <c r="AJ7" i="1" s="1"/>
  <c r="M33" i="1"/>
  <c r="M35" i="1"/>
  <c r="M63" i="1" s="1"/>
  <c r="L48" i="1"/>
  <c r="L62" i="1" s="1"/>
  <c r="AG12" i="1" l="1"/>
  <c r="AH12" i="1" s="1"/>
  <c r="L61" i="1"/>
  <c r="AD26" i="1"/>
  <c r="O34" i="1"/>
  <c r="AG22" i="1" s="1"/>
  <c r="M47" i="1"/>
  <c r="AE23" i="1" s="1"/>
  <c r="AE24" i="1" s="1"/>
  <c r="AE25" i="1" s="1"/>
  <c r="AE26" i="1" s="1"/>
  <c r="P5" i="1"/>
  <c r="AG19" i="1"/>
  <c r="V50" i="1"/>
  <c r="V7" i="1"/>
  <c r="V37" i="1"/>
  <c r="V65" i="1" s="1"/>
  <c r="U50" i="1"/>
  <c r="U64" i="1" s="1"/>
  <c r="V37" i="4"/>
  <c r="V65" i="4" s="1"/>
  <c r="V7" i="4"/>
  <c r="V50" i="4"/>
  <c r="U50" i="4"/>
  <c r="U64" i="4" s="1"/>
  <c r="AM7" i="4"/>
  <c r="V16" i="4"/>
  <c r="AN7" i="4" s="1"/>
  <c r="AD26" i="4"/>
  <c r="AE23" i="4"/>
  <c r="AE24" i="4" s="1"/>
  <c r="AE25" i="4" s="1"/>
  <c r="M61" i="4"/>
  <c r="AK12" i="4"/>
  <c r="AJ13" i="4"/>
  <c r="V30" i="4"/>
  <c r="AN20" i="4" s="1"/>
  <c r="AM20" i="4"/>
  <c r="AG22" i="4"/>
  <c r="O62" i="4"/>
  <c r="AH19" i="4"/>
  <c r="P33" i="4"/>
  <c r="P34" i="4"/>
  <c r="Q5" i="4"/>
  <c r="N47" i="4"/>
  <c r="S16" i="1"/>
  <c r="AK7" i="1" s="1"/>
  <c r="N33" i="1"/>
  <c r="N35" i="1"/>
  <c r="N63" i="1" s="1"/>
  <c r="M48" i="1"/>
  <c r="M62" i="1" s="1"/>
  <c r="AG13" i="1" l="1"/>
  <c r="M61" i="1"/>
  <c r="V6" i="1"/>
  <c r="V35" i="1" s="1"/>
  <c r="V36" i="1"/>
  <c r="V64" i="1" s="1"/>
  <c r="U49" i="1"/>
  <c r="V49" i="1"/>
  <c r="AH19" i="1"/>
  <c r="Q5" i="1"/>
  <c r="P34" i="1"/>
  <c r="AH22" i="1" s="1"/>
  <c r="N47" i="1"/>
  <c r="AF23" i="1" s="1"/>
  <c r="AF24" i="1" s="1"/>
  <c r="AF25" i="1" s="1"/>
  <c r="AF26" i="1" s="1"/>
  <c r="V36" i="4"/>
  <c r="V64" i="4" s="1"/>
  <c r="V6" i="4"/>
  <c r="U49" i="4"/>
  <c r="U63" i="4" s="1"/>
  <c r="V49" i="4"/>
  <c r="AE26" i="4"/>
  <c r="AH22" i="4"/>
  <c r="P62" i="4"/>
  <c r="AI19" i="4"/>
  <c r="Q33" i="4"/>
  <c r="Q34" i="4"/>
  <c r="R5" i="4"/>
  <c r="O47" i="4"/>
  <c r="AF23" i="4"/>
  <c r="AF24" i="4" s="1"/>
  <c r="AF25" i="4" s="1"/>
  <c r="N61" i="4"/>
  <c r="AL12" i="4"/>
  <c r="AK13" i="4"/>
  <c r="T16" i="1"/>
  <c r="AL7" i="1" s="1"/>
  <c r="AI12" i="1"/>
  <c r="AH13" i="1"/>
  <c r="O35" i="1"/>
  <c r="O63" i="1" s="1"/>
  <c r="O33" i="1"/>
  <c r="N48" i="1"/>
  <c r="N62" i="1" s="1"/>
  <c r="V63" i="1" l="1"/>
  <c r="V35" i="4"/>
  <c r="V63" i="4" s="1"/>
  <c r="U48" i="4"/>
  <c r="V48" i="4"/>
  <c r="N61" i="1"/>
  <c r="AI19" i="1"/>
  <c r="Q34" i="1"/>
  <c r="AI22" i="1" s="1"/>
  <c r="O47" i="1"/>
  <c r="AG23" i="1" s="1"/>
  <c r="AG24" i="1" s="1"/>
  <c r="AG25" i="1" s="1"/>
  <c r="AG26" i="1" s="1"/>
  <c r="R5" i="1"/>
  <c r="AG25" i="4"/>
  <c r="AF26" i="4"/>
  <c r="AG23" i="4"/>
  <c r="AG24" i="4" s="1"/>
  <c r="O61" i="4"/>
  <c r="AM12" i="4"/>
  <c r="AL13" i="4"/>
  <c r="AI22" i="4"/>
  <c r="Q62" i="4"/>
  <c r="AJ19" i="4"/>
  <c r="R33" i="4"/>
  <c r="R34" i="4"/>
  <c r="S5" i="4"/>
  <c r="P47" i="4"/>
  <c r="U16" i="1"/>
  <c r="AM7" i="1" s="1"/>
  <c r="P35" i="1"/>
  <c r="P63" i="1" s="1"/>
  <c r="P33" i="1"/>
  <c r="O48" i="1"/>
  <c r="O62" i="1" s="1"/>
  <c r="AJ12" i="1"/>
  <c r="AI13" i="1"/>
  <c r="O61" i="1" l="1"/>
  <c r="P47" i="1"/>
  <c r="AH23" i="1" s="1"/>
  <c r="AH24" i="1" s="1"/>
  <c r="AH25" i="1" s="1"/>
  <c r="S5" i="1"/>
  <c r="AJ19" i="1"/>
  <c r="R34" i="1"/>
  <c r="AJ22" i="1" s="1"/>
  <c r="AH25" i="4"/>
  <c r="AG26" i="4"/>
  <c r="T5" i="4"/>
  <c r="S34" i="4"/>
  <c r="S33" i="4"/>
  <c r="AK19" i="4"/>
  <c r="Q47" i="4"/>
  <c r="AJ22" i="4"/>
  <c r="R62" i="4"/>
  <c r="AN12" i="4"/>
  <c r="AN13" i="4" s="1"/>
  <c r="AM13" i="4"/>
  <c r="AH23" i="4"/>
  <c r="AH24" i="4" s="1"/>
  <c r="P61" i="4"/>
  <c r="V16" i="1"/>
  <c r="AN7" i="1" s="1"/>
  <c r="Q33" i="1"/>
  <c r="Q35" i="1"/>
  <c r="Q63" i="1" s="1"/>
  <c r="P48" i="1"/>
  <c r="P62" i="1" s="1"/>
  <c r="AK12" i="1"/>
  <c r="AJ13" i="1"/>
  <c r="AH26" i="1" l="1"/>
  <c r="Q47" i="1"/>
  <c r="AI23" i="1" s="1"/>
  <c r="AI24" i="1" s="1"/>
  <c r="AI25" i="1" s="1"/>
  <c r="AI26" i="1" s="1"/>
  <c r="T5" i="1"/>
  <c r="AK19" i="1"/>
  <c r="S34" i="1"/>
  <c r="AK22" i="1" s="1"/>
  <c r="Q61" i="1"/>
  <c r="P61" i="1"/>
  <c r="AH26" i="4"/>
  <c r="U5" i="4"/>
  <c r="T33" i="4"/>
  <c r="AL19" i="4"/>
  <c r="T34" i="4"/>
  <c r="R47" i="4"/>
  <c r="S62" i="4"/>
  <c r="AK22" i="4"/>
  <c r="AI23" i="4"/>
  <c r="AI24" i="4" s="1"/>
  <c r="AI25" i="4" s="1"/>
  <c r="Q61" i="4"/>
  <c r="R33" i="1"/>
  <c r="R35" i="1"/>
  <c r="R63" i="1" s="1"/>
  <c r="Q48" i="1"/>
  <c r="Q62" i="1" s="1"/>
  <c r="AL12" i="1"/>
  <c r="AK13" i="1"/>
  <c r="R47" i="1" l="1"/>
  <c r="AJ23" i="1" s="1"/>
  <c r="AJ24" i="1" s="1"/>
  <c r="AJ25" i="1" s="1"/>
  <c r="AJ26" i="1" s="1"/>
  <c r="U5" i="1"/>
  <c r="AL19" i="1"/>
  <c r="T34" i="1"/>
  <c r="AL22" i="1" s="1"/>
  <c r="R61" i="1"/>
  <c r="AJ23" i="4"/>
  <c r="AJ24" i="4" s="1"/>
  <c r="AJ25" i="4" s="1"/>
  <c r="R61" i="4"/>
  <c r="AI26" i="4"/>
  <c r="V5" i="4"/>
  <c r="AM19" i="4"/>
  <c r="U33" i="4"/>
  <c r="U34" i="4"/>
  <c r="S47" i="4"/>
  <c r="T62" i="4"/>
  <c r="AL22" i="4"/>
  <c r="AL13" i="1"/>
  <c r="AM12" i="1"/>
  <c r="S33" i="1"/>
  <c r="S35" i="1"/>
  <c r="S63" i="1" s="1"/>
  <c r="R48" i="1"/>
  <c r="R62" i="1" s="1"/>
  <c r="V5" i="1" l="1"/>
  <c r="AM19" i="1"/>
  <c r="U34" i="1"/>
  <c r="AM22" i="1" s="1"/>
  <c r="S47" i="1"/>
  <c r="AK23" i="1" s="1"/>
  <c r="AK24" i="1" s="1"/>
  <c r="AK25" i="1" s="1"/>
  <c r="AJ26" i="4"/>
  <c r="AK25" i="4"/>
  <c r="U62" i="4"/>
  <c r="AM22" i="4"/>
  <c r="AM24" i="4" s="1"/>
  <c r="AK23" i="4"/>
  <c r="AK24" i="4" s="1"/>
  <c r="S61" i="4"/>
  <c r="V47" i="4"/>
  <c r="AN23" i="4" s="1"/>
  <c r="AN19" i="4"/>
  <c r="V33" i="4"/>
  <c r="V61" i="4" s="1"/>
  <c r="V34" i="4"/>
  <c r="T47" i="4"/>
  <c r="U61" i="4"/>
  <c r="U47" i="4"/>
  <c r="AM23" i="4" s="1"/>
  <c r="AN12" i="1"/>
  <c r="AN13" i="1" s="1"/>
  <c r="AM13" i="1"/>
  <c r="U48" i="1"/>
  <c r="T33" i="1"/>
  <c r="T35" i="1"/>
  <c r="T63" i="1" s="1"/>
  <c r="S48" i="1"/>
  <c r="S62" i="1" s="1"/>
  <c r="U62" i="1" l="1"/>
  <c r="AK26" i="1"/>
  <c r="AM24" i="1"/>
  <c r="S61" i="1"/>
  <c r="U47" i="1"/>
  <c r="AM23" i="1" s="1"/>
  <c r="AN19" i="1"/>
  <c r="V33" i="1"/>
  <c r="T47" i="1"/>
  <c r="AL23" i="1" s="1"/>
  <c r="AL24" i="1" s="1"/>
  <c r="AL25" i="1" s="1"/>
  <c r="V47" i="1"/>
  <c r="AN23" i="1" s="1"/>
  <c r="V34" i="1"/>
  <c r="AN22" i="1" s="1"/>
  <c r="AN24" i="1" s="1"/>
  <c r="AK26" i="4"/>
  <c r="V62" i="4"/>
  <c r="AN22" i="4"/>
  <c r="AN24" i="4" s="1"/>
  <c r="AL23" i="4"/>
  <c r="AL24" i="4" s="1"/>
  <c r="AL25" i="4" s="1"/>
  <c r="T61" i="4"/>
  <c r="U33" i="1"/>
  <c r="U61" i="1" s="1"/>
  <c r="V48" i="1"/>
  <c r="U35" i="1"/>
  <c r="U63" i="1" s="1"/>
  <c r="T48" i="1"/>
  <c r="T62" i="1" s="1"/>
  <c r="AM25" i="1" l="1"/>
  <c r="AN25" i="1" s="1"/>
  <c r="AN26" i="1" s="1"/>
  <c r="AL26" i="1"/>
  <c r="V62" i="1"/>
  <c r="T61" i="1"/>
  <c r="AM25" i="4"/>
  <c r="AL26" i="4"/>
  <c r="AM26" i="1" l="1"/>
  <c r="AN25" i="4"/>
  <c r="AN26" i="4" s="1"/>
  <c r="AM26" i="4"/>
</calcChain>
</file>

<file path=xl/sharedStrings.xml><?xml version="1.0" encoding="utf-8"?>
<sst xmlns="http://schemas.openxmlformats.org/spreadsheetml/2006/main" count="58" uniqueCount="17">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</sst>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3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2" xfId="1" applyNumberFormat="1" applyFont="1" applyFill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0" xfId="1" applyNumberFormat="1" applyFont="1" applyFill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1" applyNumberFormat="1" applyFont="1" applyAlignment="1">
      <alignment horizontal="center"/>
    </xf>
    <xf numFmtId="1" fontId="0" fillId="0" borderId="1" xfId="0" applyNumberForma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3" borderId="0" xfId="1" applyNumberFormat="1" applyFont="1" applyFill="1" applyBorder="1" applyAlignment="1">
      <alignment horizontal="center"/>
    </xf>
    <xf numFmtId="164" fontId="0" fillId="3" borderId="0" xfId="1" applyNumberFormat="1" applyFont="1" applyFill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2" fontId="0" fillId="3" borderId="4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</cellXfs>
  <cellStyles count="3">
    <cellStyle name="Обычный" xfId="0" builtinId="0"/>
    <cellStyle name="Финансовый" xfId="1" builtinId="3"/>
    <cellStyle name="Финансовый 2" xfId="2"/>
  </cellStyles>
  <dxfs count="0"/>
  <tableStyles count="0" defaultTableStyle="TableStyleMedium2" defaultPivotStyle="PivotStyleLight16"/>
  <colors>
    <mruColors>
      <color rgb="FFEDAFD5"/>
      <color rgb="FFBA6EA8"/>
      <color rgb="FFBAA7F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585745017202451E-2"/>
          <c:y val="3.4972494894956262E-2"/>
          <c:w val="0.78340401499532297"/>
          <c:h val="0.90186559491958551"/>
        </c:manualLayout>
      </c:layout>
      <c:lineChart>
        <c:grouping val="stacked"/>
        <c:varyColors val="0"/>
        <c:ser>
          <c:idx val="0"/>
          <c:order val="0"/>
          <c:cat>
            <c:numRef>
              <c:f>Лист1!$H$30:$V$30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Лист1!$Z$25:$AN$25</c:f>
              <c:numCache>
                <c:formatCode>General</c:formatCode>
                <c:ptCount val="15"/>
                <c:pt idx="0">
                  <c:v>101325</c:v>
                </c:pt>
                <c:pt idx="1">
                  <c:v>101321.220963029</c:v>
                </c:pt>
                <c:pt idx="2">
                  <c:v>101316.9172369187</c:v>
                </c:pt>
                <c:pt idx="3">
                  <c:v>101311.61017323431</c:v>
                </c:pt>
                <c:pt idx="4">
                  <c:v>101304.66663161968</c:v>
                </c:pt>
                <c:pt idx="5">
                  <c:v>101295.19497204198</c:v>
                </c:pt>
                <c:pt idx="6">
                  <c:v>101281.86945774381</c:v>
                </c:pt>
                <c:pt idx="7">
                  <c:v>101262.6237172308</c:v>
                </c:pt>
                <c:pt idx="8">
                  <c:v>101234.09622440951</c:v>
                </c:pt>
                <c:pt idx="9">
                  <c:v>101190.59177648215</c:v>
                </c:pt>
                <c:pt idx="10">
                  <c:v>101122.06772371633</c:v>
                </c:pt>
                <c:pt idx="11">
                  <c:v>101010.07935185586</c:v>
                </c:pt>
                <c:pt idx="12">
                  <c:v>100819.50509292688</c:v>
                </c:pt>
                <c:pt idx="13">
                  <c:v>100486.84125721279</c:v>
                </c:pt>
                <c:pt idx="14">
                  <c:v>99996.875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161472"/>
        <c:axId val="107163008"/>
      </c:lineChart>
      <c:catAx>
        <c:axId val="10716147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07163008"/>
        <c:crosses val="autoZero"/>
        <c:auto val="1"/>
        <c:lblAlgn val="ctr"/>
        <c:lblOffset val="100"/>
        <c:noMultiLvlLbl val="0"/>
      </c:catAx>
      <c:valAx>
        <c:axId val="107163008"/>
        <c:scaling>
          <c:orientation val="minMax"/>
          <c:max val="101400"/>
          <c:min val="999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16147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percentStacked"/>
        <c:varyColors val="0"/>
        <c:ser>
          <c:idx val="0"/>
          <c:order val="0"/>
          <c:marker>
            <c:symbol val="none"/>
          </c:marker>
          <c:cat>
            <c:numRef>
              <c:f>Лист1!$I$16:$V$16</c:f>
              <c:numCache>
                <c:formatCode>0.00</c:formatCode>
                <c:ptCount val="1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</c:numCache>
            </c:numRef>
          </c:cat>
          <c:val>
            <c:numRef>
              <c:f>Лист1!$I$6:$U$6</c:f>
              <c:numCache>
                <c:formatCode>0.00</c:formatCode>
                <c:ptCount val="13"/>
                <c:pt idx="0">
                  <c:v>19.922054864819678</c:v>
                </c:pt>
                <c:pt idx="1">
                  <c:v>19.836627869483078</c:v>
                </c:pt>
                <c:pt idx="2">
                  <c:v>19.735661220959265</c:v>
                </c:pt>
                <c:pt idx="3">
                  <c:v>19.609876030839253</c:v>
                </c:pt>
                <c:pt idx="4">
                  <c:v>19.447963443059297</c:v>
                </c:pt>
                <c:pt idx="5">
                  <c:v>19.235452894273124</c:v>
                </c:pt>
                <c:pt idx="6">
                  <c:v>18.952948410453118</c:v>
                </c:pt>
                <c:pt idx="7">
                  <c:v>18.573040917051792</c:v>
                </c:pt>
                <c:pt idx="8">
                  <c:v>18.054065256227585</c:v>
                </c:pt>
                <c:pt idx="9">
                  <c:v>17.325058019606779</c:v>
                </c:pt>
                <c:pt idx="10">
                  <c:v>16.242740070636163</c:v>
                </c:pt>
                <c:pt idx="11">
                  <c:v>14.452132356373371</c:v>
                </c:pt>
                <c:pt idx="12">
                  <c:v>10.898394921288928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Лист1!$I$16:$V$16</c:f>
              <c:numCache>
                <c:formatCode>0.00</c:formatCode>
                <c:ptCount val="1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</c:numCache>
            </c:numRef>
          </c:cat>
          <c:val>
            <c:numRef>
              <c:f>Лист1!$I$7:$V$7</c:f>
              <c:numCache>
                <c:formatCode>0.00</c:formatCode>
                <c:ptCount val="14"/>
                <c:pt idx="0">
                  <c:v>17.851591650919914</c:v>
                </c:pt>
                <c:pt idx="1">
                  <c:v>17.688795506356211</c:v>
                </c:pt>
                <c:pt idx="2">
                  <c:v>17.496141147302616</c:v>
                </c:pt>
                <c:pt idx="3">
                  <c:v>17.255879651431158</c:v>
                </c:pt>
                <c:pt idx="4">
                  <c:v>16.94652506224012</c:v>
                </c:pt>
                <c:pt idx="5">
                  <c:v>16.54089993478955</c:v>
                </c:pt>
                <c:pt idx="6">
                  <c:v>16.003300033673156</c:v>
                </c:pt>
                <c:pt idx="7">
                  <c:v>15.285150173760048</c:v>
                </c:pt>
                <c:pt idx="8">
                  <c:v>14.318162229927442</c:v>
                </c:pt>
                <c:pt idx="9">
                  <c:v>13.003426851807843</c:v>
                </c:pt>
                <c:pt idx="10">
                  <c:v>11.193769972551777</c:v>
                </c:pt>
                <c:pt idx="11">
                  <c:v>8.6673944683194577</c:v>
                </c:pt>
                <c:pt idx="12">
                  <c:v>5.1414473429090943</c:v>
                </c:pt>
                <c:pt idx="13">
                  <c:v>1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numRef>
              <c:f>Лист1!$I$16:$V$16</c:f>
              <c:numCache>
                <c:formatCode>0.00</c:formatCode>
                <c:ptCount val="1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</c:numCache>
            </c:numRef>
          </c:cat>
          <c:val>
            <c:numRef>
              <c:f>Лист1!$I$8:$V$8</c:f>
              <c:numCache>
                <c:formatCode>0.00</c:formatCode>
                <c:ptCount val="14"/>
                <c:pt idx="0">
                  <c:v>15.795516346425508</c:v>
                </c:pt>
                <c:pt idx="1">
                  <c:v>15.570821581934624</c:v>
                </c:pt>
                <c:pt idx="2">
                  <c:v>15.304228515448184</c:v>
                </c:pt>
                <c:pt idx="3">
                  <c:v>14.970976741885934</c:v>
                </c:pt>
                <c:pt idx="4">
                  <c:v>14.541357619219486</c:v>
                </c:pt>
                <c:pt idx="5">
                  <c:v>13.978322161298188</c:v>
                </c:pt>
                <c:pt idx="6">
                  <c:v>13.234201990564717</c:v>
                </c:pt>
                <c:pt idx="7">
                  <c:v>12.24609784687258</c:v>
                </c:pt>
                <c:pt idx="8">
                  <c:v>10.930006894190281</c:v>
                </c:pt>
                <c:pt idx="9">
                  <c:v>9.176717371715581</c:v>
                </c:pt>
                <c:pt idx="10">
                  <c:v>6.861518610722162</c:v>
                </c:pt>
                <c:pt idx="11">
                  <c:v>3.8822282579956724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cat>
            <c:numRef>
              <c:f>Лист1!$I$16:$V$16</c:f>
              <c:numCache>
                <c:formatCode>0.00</c:formatCode>
                <c:ptCount val="1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</c:numCache>
            </c:numRef>
          </c:cat>
          <c:val>
            <c:numRef>
              <c:f>Лист1!$I$9:$V$9</c:f>
              <c:numCache>
                <c:formatCode>0.00</c:formatCode>
                <c:ptCount val="14"/>
                <c:pt idx="0">
                  <c:v>13.759652315529888</c:v>
                </c:pt>
                <c:pt idx="1">
                  <c:v>13.494746263203726</c:v>
                </c:pt>
                <c:pt idx="2">
                  <c:v>13.17897502554044</c:v>
                </c:pt>
                <c:pt idx="3">
                  <c:v>12.78244169014245</c:v>
                </c:pt>
                <c:pt idx="4">
                  <c:v>12.269607078743004</c:v>
                </c:pt>
                <c:pt idx="5">
                  <c:v>11.596829653856943</c:v>
                </c:pt>
                <c:pt idx="6">
                  <c:v>10.70908844669507</c:v>
                </c:pt>
                <c:pt idx="7">
                  <c:v>9.5350327664719057</c:v>
                </c:pt>
                <c:pt idx="8">
                  <c:v>7.9790504753759492</c:v>
                </c:pt>
                <c:pt idx="9">
                  <c:v>5.9119173586499461</c:v>
                </c:pt>
                <c:pt idx="10">
                  <c:v>3.1933589691430102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cat>
            <c:numRef>
              <c:f>Лист1!$I$16:$V$16</c:f>
              <c:numCache>
                <c:formatCode>0.00</c:formatCode>
                <c:ptCount val="1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</c:numCache>
            </c:numRef>
          </c:cat>
          <c:val>
            <c:numRef>
              <c:f>Лист1!$I$10:$V$10</c:f>
              <c:numCache>
                <c:formatCode>0.00</c:formatCode>
                <c:ptCount val="14"/>
                <c:pt idx="0">
                  <c:v>11.748346842027512</c:v>
                </c:pt>
                <c:pt idx="1">
                  <c:v>11.469536502388598</c:v>
                </c:pt>
                <c:pt idx="2">
                  <c:v>11.134484138990931</c:v>
                </c:pt>
                <c:pt idx="3">
                  <c:v>10.710208536260913</c:v>
                </c:pt>
                <c:pt idx="4">
                  <c:v>10.157800007483809</c:v>
                </c:pt>
                <c:pt idx="5">
                  <c:v>9.4303015985244976</c:v>
                </c:pt>
                <c:pt idx="6">
                  <c:v>8.470289974430381</c:v>
                </c:pt>
                <c:pt idx="7">
                  <c:v>7.205894811599495</c:v>
                </c:pt>
                <c:pt idx="8">
                  <c:v>5.5392452554518083</c:v>
                </c:pt>
                <c:pt idx="9">
                  <c:v>3.2985428548043165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cat>
            <c:numRef>
              <c:f>Лист1!$I$16:$V$16</c:f>
              <c:numCache>
                <c:formatCode>0.00</c:formatCode>
                <c:ptCount val="1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</c:numCache>
            </c:numRef>
          </c:cat>
          <c:val>
            <c:numRef>
              <c:f>Лист1!$I$11:$V$11</c:f>
              <c:numCache>
                <c:formatCode>0.00</c:formatCode>
                <c:ptCount val="14"/>
                <c:pt idx="0">
                  <c:v>9.7641987603268596</c:v>
                </c:pt>
                <c:pt idx="1">
                  <c:v>9.5005691569933521</c:v>
                </c:pt>
                <c:pt idx="2">
                  <c:v>9.1792170509385294</c:v>
                </c:pt>
                <c:pt idx="3">
                  <c:v>8.7661089592473811</c:v>
                </c:pt>
                <c:pt idx="4">
                  <c:v>8.2210835362278001</c:v>
                </c:pt>
                <c:pt idx="5">
                  <c:v>7.4962874507275394</c:v>
                </c:pt>
                <c:pt idx="6">
                  <c:v>6.5358756840372543</c:v>
                </c:pt>
                <c:pt idx="7">
                  <c:v>5.2790117615116214</c:v>
                </c:pt>
                <c:pt idx="8">
                  <c:v>3.6734932497293293</c:v>
                </c:pt>
                <c:pt idx="9">
                  <c:v>1.7430089929720016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cat>
            <c:numRef>
              <c:f>Лист1!$I$16:$V$16</c:f>
              <c:numCache>
                <c:formatCode>0.00</c:formatCode>
                <c:ptCount val="1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</c:numCache>
            </c:numRef>
          </c:cat>
          <c:val>
            <c:numRef>
              <c:f>Лист1!$I$12:$V$12</c:f>
              <c:numCache>
                <c:formatCode>0.00</c:formatCode>
                <c:ptCount val="14"/>
                <c:pt idx="0">
                  <c:v>7.8078792453433579</c:v>
                </c:pt>
                <c:pt idx="1">
                  <c:v>7.5893247127334966</c:v>
                </c:pt>
                <c:pt idx="2">
                  <c:v>7.3157064873000373</c:v>
                </c:pt>
                <c:pt idx="3">
                  <c:v>6.9539273722111723</c:v>
                </c:pt>
                <c:pt idx="4">
                  <c:v>6.4641384149755048</c:v>
                </c:pt>
                <c:pt idx="5">
                  <c:v>5.7978896743483901</c:v>
                </c:pt>
                <c:pt idx="6">
                  <c:v>4.8979141473388532</c:v>
                </c:pt>
                <c:pt idx="7">
                  <c:v>3.7007837846465965</c:v>
                </c:pt>
                <c:pt idx="8">
                  <c:v>2.1327072961779896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cat>
            <c:numRef>
              <c:f>Лист1!$I$16:$V$16</c:f>
              <c:numCache>
                <c:formatCode>0.00</c:formatCode>
                <c:ptCount val="1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</c:numCache>
            </c:numRef>
          </c:cat>
          <c:val>
            <c:numRef>
              <c:f>Лист1!$I$13:$V$13</c:f>
              <c:numCache>
                <c:formatCode>0.00</c:formatCode>
                <c:ptCount val="14"/>
                <c:pt idx="0">
                  <c:v>5.8779936983287753</c:v>
                </c:pt>
                <c:pt idx="1">
                  <c:v>5.7331443147402883</c:v>
                </c:pt>
                <c:pt idx="2">
                  <c:v>5.5403573159495076</c:v>
                </c:pt>
                <c:pt idx="3">
                  <c:v>5.2697562083725131</c:v>
                </c:pt>
                <c:pt idx="4">
                  <c:v>4.8836537122511396</c:v>
                </c:pt>
                <c:pt idx="5">
                  <c:v>4.3332192825978613</c:v>
                </c:pt>
                <c:pt idx="6">
                  <c:v>3.5571079802066548</c:v>
                </c:pt>
                <c:pt idx="7">
                  <c:v>2.4935023232660889</c:v>
                </c:pt>
                <c:pt idx="8">
                  <c:v>1.1565523721379378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cat>
            <c:numRef>
              <c:f>Лист1!$I$16:$V$16</c:f>
              <c:numCache>
                <c:formatCode>0.00</c:formatCode>
                <c:ptCount val="1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</c:numCache>
            </c:numRef>
          </c:cat>
          <c:val>
            <c:numRef>
              <c:f>Лист1!$I$14:$V$14</c:f>
              <c:numCache>
                <c:formatCode>0.00</c:formatCode>
                <c:ptCount val="14"/>
                <c:pt idx="0">
                  <c:v>3.9709513858975143</c:v>
                </c:pt>
                <c:pt idx="1">
                  <c:v>3.9249018308788512</c:v>
                </c:pt>
                <c:pt idx="2">
                  <c:v>3.8428226560107364</c:v>
                </c:pt>
                <c:pt idx="3">
                  <c:v>3.7010869217689715</c:v>
                </c:pt>
                <c:pt idx="4">
                  <c:v>3.4675014466593286</c:v>
                </c:pt>
                <c:pt idx="5">
                  <c:v>3.0942262570710204</c:v>
                </c:pt>
                <c:pt idx="6">
                  <c:v>2.5037965743399644</c:v>
                </c:pt>
                <c:pt idx="7">
                  <c:v>1.5595654490338497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cat>
            <c:numRef>
              <c:f>Лист1!$I$16:$V$16</c:f>
              <c:numCache>
                <c:formatCode>0.00</c:formatCode>
                <c:ptCount val="1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</c:numCache>
            </c:numRef>
          </c:cat>
          <c:val>
            <c:numRef>
              <c:f>Лист1!$I$15:$V$15</c:f>
              <c:numCache>
                <c:formatCode>0.00</c:formatCode>
                <c:ptCount val="14"/>
                <c:pt idx="0">
                  <c:v>2.0809101258297842</c:v>
                </c:pt>
                <c:pt idx="1">
                  <c:v>2.1526891737799883</c:v>
                </c:pt>
                <c:pt idx="2">
                  <c:v>2.204944848605515</c:v>
                </c:pt>
                <c:pt idx="3">
                  <c:v>2.2242677126204287</c:v>
                </c:pt>
                <c:pt idx="4">
                  <c:v>2.1910392587524807</c:v>
                </c:pt>
                <c:pt idx="5">
                  <c:v>2.0723880578837077</c:v>
                </c:pt>
                <c:pt idx="6">
                  <c:v>1.8042868902182723</c:v>
                </c:pt>
                <c:pt idx="7">
                  <c:v>1.2409630645840801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96960"/>
        <c:axId val="107498496"/>
      </c:lineChart>
      <c:catAx>
        <c:axId val="10749696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07498496"/>
        <c:crosses val="autoZero"/>
        <c:auto val="1"/>
        <c:lblAlgn val="ctr"/>
        <c:lblOffset val="100"/>
        <c:noMultiLvlLbl val="0"/>
      </c:catAx>
      <c:valAx>
        <c:axId val="107498496"/>
        <c:scaling>
          <c:orientation val="minMax"/>
          <c:min val="0.1500000000000000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749696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54E-2"/>
          <c:y val="8.9646862324027798E-2"/>
          <c:w val="0.81238912576995626"/>
          <c:h val="0.83915527561132464"/>
        </c:manualLayout>
      </c:layout>
      <c:scatterChart>
        <c:scatterStyle val="smoothMarker"/>
        <c:varyColors val="0"/>
        <c:ser>
          <c:idx val="2"/>
          <c:order val="1"/>
          <c:tx>
            <c:v>верхняя стенка</c:v>
          </c:tx>
          <c:spPr>
            <a:ln w="28575" cap="rnd">
              <a:solidFill>
                <a:srgbClr val="EDAFD5"/>
              </a:solidFill>
              <a:round/>
            </a:ln>
            <a:effectLst/>
          </c:spPr>
          <c:marker>
            <c:symbol val="none"/>
          </c:marker>
          <c:xVal>
            <c:numRef>
              <c:f>Лист2!$Z$7:$AN$7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Лист2!$Z$26:$AN$26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2.410814293893054E-2</c:v>
                </c:pt>
                <c:pt idx="2">
                  <c:v>5.5728660741879141E-2</c:v>
                </c:pt>
                <c:pt idx="3">
                  <c:v>0.10328888529707911</c:v>
                </c:pt>
                <c:pt idx="4">
                  <c:v>0.17458633039292182</c:v>
                </c:pt>
                <c:pt idx="5">
                  <c:v>0.26984684544091581</c:v>
                </c:pt>
                <c:pt idx="6">
                  <c:v>0.36882014826172965</c:v>
                </c:pt>
                <c:pt idx="7">
                  <c:v>0.4576103363922448</c:v>
                </c:pt>
                <c:pt idx="8">
                  <c:v>0.53132462113018841</c:v>
                </c:pt>
                <c:pt idx="9">
                  <c:v>0.59021014092460977</c:v>
                </c:pt>
                <c:pt idx="10">
                  <c:v>0.63657203924842176</c:v>
                </c:pt>
                <c:pt idx="11">
                  <c:v>0.67321671105310088</c:v>
                </c:pt>
                <c:pt idx="12">
                  <c:v>0.70282181266375121</c:v>
                </c:pt>
                <c:pt idx="13">
                  <c:v>0.72774340476637012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23296"/>
        <c:axId val="70424832"/>
      </c:scatterChart>
      <c:scatterChart>
        <c:scatterStyle val="smoothMarker"/>
        <c:varyColors val="0"/>
        <c:ser>
          <c:idx val="1"/>
          <c:order val="0"/>
          <c:tx>
            <c:v>нижняя стенка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Лист2!$Z$7:$AN$7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Лист2!$Z$13:$AN$13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-0.59334658596431833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36352"/>
        <c:axId val="70434816"/>
      </c:scatterChart>
      <c:valAx>
        <c:axId val="70423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424832"/>
        <c:crosses val="autoZero"/>
        <c:crossBetween val="midCat"/>
        <c:minorUnit val="1"/>
      </c:valAx>
      <c:valAx>
        <c:axId val="7042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423296"/>
        <c:crosses val="autoZero"/>
        <c:crossBetween val="midCat"/>
      </c:valAx>
      <c:valAx>
        <c:axId val="7043481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70436352"/>
        <c:crosses val="max"/>
        <c:crossBetween val="midCat"/>
      </c:valAx>
      <c:valAx>
        <c:axId val="70436352"/>
        <c:scaling>
          <c:orientation val="minMax"/>
        </c:scaling>
        <c:delete val="0"/>
        <c:axPos val="t"/>
        <c:numFmt formatCode="0.00" sourceLinked="1"/>
        <c:majorTickMark val="out"/>
        <c:minorTickMark val="none"/>
        <c:tickLblPos val="nextTo"/>
        <c:crossAx val="70434816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258534</xdr:colOff>
      <xdr:row>29</xdr:row>
      <xdr:rowOff>36737</xdr:rowOff>
    </xdr:from>
    <xdr:to>
      <xdr:col>36</xdr:col>
      <xdr:colOff>394605</xdr:colOff>
      <xdr:row>50</xdr:row>
      <xdr:rowOff>68034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26</xdr:col>
      <xdr:colOff>326571</xdr:colOff>
      <xdr:row>28</xdr:row>
      <xdr:rowOff>108857</xdr:rowOff>
    </xdr:from>
    <xdr:ext cx="412870" cy="564193"/>
    <xdr:sp macro="" textlink="">
      <xdr:nvSpPr>
        <xdr:cNvPr id="3" name="TextBox 2"/>
        <xdr:cNvSpPr txBox="1"/>
      </xdr:nvSpPr>
      <xdr:spPr>
        <a:xfrm>
          <a:off x="12499521" y="5442857"/>
          <a:ext cx="412870" cy="5641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endParaRPr lang="ru-RU" sz="3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26</xdr:col>
      <xdr:colOff>221114</xdr:colOff>
      <xdr:row>53</xdr:row>
      <xdr:rowOff>19730</xdr:rowOff>
    </xdr:from>
    <xdr:to>
      <xdr:col>43</xdr:col>
      <xdr:colOff>146275</xdr:colOff>
      <xdr:row>86</xdr:row>
      <xdr:rowOff>132670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0.83384</cdr:x>
      <cdr:y>0.01389</cdr:y>
    </cdr:from>
    <cdr:to>
      <cdr:x>0.99261</cdr:x>
      <cdr:y>0.10205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8547100" y="88900"/>
          <a:ext cx="1627433" cy="56419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3200">
              <a:latin typeface="Times New Roman" panose="02020603050405020304" pitchFamily="18" charset="0"/>
              <a:cs typeface="Times New Roman" panose="02020603050405020304" pitchFamily="18" charset="0"/>
            </a:rPr>
            <a:t>Течение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156913</xdr:colOff>
      <xdr:row>73</xdr:row>
      <xdr:rowOff>147356</xdr:rowOff>
    </xdr:from>
    <xdr:to>
      <xdr:col>16</xdr:col>
      <xdr:colOff>79386</xdr:colOff>
      <xdr:row>99</xdr:row>
      <xdr:rowOff>99300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</cdr:x>
      <cdr:y>0.00455</cdr:y>
    </cdr:from>
    <cdr:to>
      <cdr:x>0.07805</cdr:x>
      <cdr:y>0.10193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0" y="21771"/>
          <a:ext cx="509674" cy="4659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latin typeface="Arial Black" pitchFamily="34" charset="0"/>
            </a:rPr>
            <a:t>Cp</a:t>
          </a:r>
          <a:endParaRPr lang="ru-RU" sz="1400" b="1">
            <a:latin typeface="Arial Black" pitchFamily="34" charset="0"/>
          </a:endParaRPr>
        </a:p>
      </cdr:txBody>
    </cdr:sp>
  </cdr:relSizeAnchor>
  <cdr:relSizeAnchor xmlns:cdr="http://schemas.openxmlformats.org/drawingml/2006/chartDrawing">
    <cdr:from>
      <cdr:x>0.89282</cdr:x>
      <cdr:y>0.50835</cdr:y>
    </cdr:from>
    <cdr:to>
      <cdr:x>1</cdr:x>
      <cdr:y>0.61982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30206" y="2432551"/>
          <a:ext cx="699896" cy="5334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 Black" pitchFamily="34" charset="0"/>
            </a:rPr>
            <a:t>X, </a:t>
          </a:r>
          <a:r>
            <a:rPr lang="ru-RU" sz="1400">
              <a:latin typeface="Arial Black" pitchFamily="34" charset="0"/>
            </a:rPr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P72"/>
  <sheetViews>
    <sheetView tabSelected="1" topLeftCell="G5" zoomScale="50" zoomScaleNormal="50" workbookViewId="0">
      <selection activeCell="AP48" sqref="AP48"/>
    </sheetView>
  </sheetViews>
  <sheetFormatPr defaultRowHeight="15" x14ac:dyDescent="0.25"/>
  <cols>
    <col min="1" max="1" width="9.28515625" customWidth="1"/>
    <col min="7" max="7" width="5.140625" bestFit="1" customWidth="1"/>
    <col min="8" max="21" width="6.140625" bestFit="1" customWidth="1"/>
    <col min="22" max="22" width="7.140625" bestFit="1" customWidth="1"/>
    <col min="23" max="23" width="3.7109375" bestFit="1" customWidth="1"/>
    <col min="25" max="25" width="5.140625" bestFit="1" customWidth="1"/>
    <col min="26" max="40" width="9.140625" bestFit="1" customWidth="1"/>
    <col min="42" max="42" width="8.5703125" customWidth="1"/>
  </cols>
  <sheetData>
    <row r="1" spans="1:42" x14ac:dyDescent="0.25"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42" x14ac:dyDescent="0.25">
      <c r="A2" s="1" t="s">
        <v>0</v>
      </c>
      <c r="B2" s="4">
        <v>0.2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42" x14ac:dyDescent="0.25">
      <c r="B3" s="3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42" x14ac:dyDescent="0.25">
      <c r="A4" s="1" t="s">
        <v>1</v>
      </c>
      <c r="B4" s="4">
        <v>10</v>
      </c>
      <c r="F4" s="3"/>
      <c r="G4" s="10"/>
      <c r="H4" s="17">
        <v>1</v>
      </c>
      <c r="I4" s="17">
        <v>2</v>
      </c>
      <c r="J4" s="17">
        <v>3</v>
      </c>
      <c r="K4" s="17">
        <v>4</v>
      </c>
      <c r="L4" s="17">
        <v>5</v>
      </c>
      <c r="M4" s="17">
        <v>6</v>
      </c>
      <c r="N4" s="17">
        <v>7</v>
      </c>
      <c r="O4" s="17">
        <v>8</v>
      </c>
      <c r="P4" s="17">
        <v>9</v>
      </c>
      <c r="Q4" s="17">
        <v>10</v>
      </c>
      <c r="R4" s="17">
        <v>11</v>
      </c>
      <c r="S4" s="17">
        <v>12</v>
      </c>
      <c r="T4" s="17">
        <v>13</v>
      </c>
      <c r="U4" s="17">
        <v>14</v>
      </c>
      <c r="V4" s="17">
        <v>15</v>
      </c>
      <c r="W4" s="3"/>
    </row>
    <row r="5" spans="1:42" x14ac:dyDescent="0.25">
      <c r="A5" s="1" t="s">
        <v>2</v>
      </c>
      <c r="B5" s="4">
        <v>101325</v>
      </c>
      <c r="F5" s="22" t="s">
        <v>9</v>
      </c>
      <c r="G5" s="11">
        <f t="shared" ref="G5:G13" si="0">G6+B$2</f>
        <v>1.9999999999999998</v>
      </c>
      <c r="H5" s="18">
        <f t="shared" ref="H5:H15" si="1">H6+$B$4*$B$2</f>
        <v>22</v>
      </c>
      <c r="I5" s="19">
        <f>H5</f>
        <v>22</v>
      </c>
      <c r="J5" s="19">
        <f t="shared" ref="J5:V5" si="2">I5</f>
        <v>22</v>
      </c>
      <c r="K5" s="19">
        <f t="shared" si="2"/>
        <v>22</v>
      </c>
      <c r="L5" s="19">
        <f t="shared" si="2"/>
        <v>22</v>
      </c>
      <c r="M5" s="19">
        <f t="shared" si="2"/>
        <v>22</v>
      </c>
      <c r="N5" s="19">
        <f t="shared" si="2"/>
        <v>22</v>
      </c>
      <c r="O5" s="19">
        <f t="shared" si="2"/>
        <v>22</v>
      </c>
      <c r="P5" s="19">
        <f t="shared" si="2"/>
        <v>22</v>
      </c>
      <c r="Q5" s="19">
        <f t="shared" si="2"/>
        <v>22</v>
      </c>
      <c r="R5" s="19">
        <f t="shared" si="2"/>
        <v>22</v>
      </c>
      <c r="S5" s="19">
        <f t="shared" si="2"/>
        <v>22</v>
      </c>
      <c r="T5" s="19">
        <f t="shared" si="2"/>
        <v>22</v>
      </c>
      <c r="U5" s="19">
        <f t="shared" si="2"/>
        <v>22</v>
      </c>
      <c r="V5" s="19">
        <f t="shared" si="2"/>
        <v>22</v>
      </c>
      <c r="W5" s="4">
        <v>11</v>
      </c>
      <c r="Y5" s="25">
        <v>0</v>
      </c>
      <c r="Z5" s="25">
        <v>1</v>
      </c>
      <c r="AA5" s="25">
        <v>2</v>
      </c>
      <c r="AB5" s="25">
        <v>3</v>
      </c>
      <c r="AC5" s="25">
        <v>4</v>
      </c>
      <c r="AD5" s="25">
        <v>5</v>
      </c>
      <c r="AE5" s="25">
        <v>6</v>
      </c>
      <c r="AF5" s="25">
        <v>7</v>
      </c>
      <c r="AG5" s="25">
        <v>8</v>
      </c>
      <c r="AH5" s="25">
        <v>9</v>
      </c>
      <c r="AI5" s="25">
        <v>10</v>
      </c>
      <c r="AJ5" s="25">
        <v>11</v>
      </c>
      <c r="AK5" s="25">
        <v>12</v>
      </c>
      <c r="AL5" s="25">
        <v>13</v>
      </c>
      <c r="AM5" s="25">
        <v>14</v>
      </c>
      <c r="AN5" s="25">
        <v>15</v>
      </c>
    </row>
    <row r="6" spans="1:42" x14ac:dyDescent="0.25">
      <c r="A6" s="1" t="s">
        <v>3</v>
      </c>
      <c r="B6" s="4">
        <f>((G5-G10)*B4)/(G5-G15)</f>
        <v>5</v>
      </c>
      <c r="F6" s="3"/>
      <c r="G6" s="11">
        <f t="shared" si="0"/>
        <v>1.7999999999999998</v>
      </c>
      <c r="H6" s="18">
        <f t="shared" si="1"/>
        <v>20</v>
      </c>
      <c r="I6" s="19">
        <f>0.25*(I19+J20+I21+H20)</f>
        <v>19.922054864819678</v>
      </c>
      <c r="J6" s="19">
        <f t="shared" ref="J6:U6" si="3">0.25*(J19+K20+J21+I20)</f>
        <v>19.836627869483078</v>
      </c>
      <c r="K6" s="19">
        <f t="shared" si="3"/>
        <v>19.735661220959265</v>
      </c>
      <c r="L6" s="19">
        <f t="shared" si="3"/>
        <v>19.609876030839253</v>
      </c>
      <c r="M6" s="19">
        <f t="shared" si="3"/>
        <v>19.447963443059297</v>
      </c>
      <c r="N6" s="19">
        <f t="shared" si="3"/>
        <v>19.235452894273124</v>
      </c>
      <c r="O6" s="19">
        <f t="shared" si="3"/>
        <v>18.952948410453118</v>
      </c>
      <c r="P6" s="19">
        <f t="shared" si="3"/>
        <v>18.573040917051792</v>
      </c>
      <c r="Q6" s="19">
        <f t="shared" si="3"/>
        <v>18.054065256227585</v>
      </c>
      <c r="R6" s="19">
        <f t="shared" si="3"/>
        <v>17.325058019606779</v>
      </c>
      <c r="S6" s="19">
        <f t="shared" si="3"/>
        <v>16.242740070636163</v>
      </c>
      <c r="T6" s="19">
        <f t="shared" si="3"/>
        <v>14.452132356373371</v>
      </c>
      <c r="U6" s="19">
        <f t="shared" si="3"/>
        <v>10.898394921288928</v>
      </c>
      <c r="V6" s="19">
        <f>V7+$B$6*$B$2</f>
        <v>2</v>
      </c>
      <c r="W6" s="4">
        <v>10</v>
      </c>
      <c r="Y6" s="26" t="s">
        <v>9</v>
      </c>
      <c r="Z6" s="5">
        <f>H10</f>
        <v>12</v>
      </c>
      <c r="AA6" s="5">
        <f>I10</f>
        <v>11.748346842027512</v>
      </c>
      <c r="AB6" s="5">
        <f>J10</f>
        <v>11.469536502388598</v>
      </c>
      <c r="AC6" s="5">
        <f>K10</f>
        <v>11.134484138990931</v>
      </c>
      <c r="AD6" s="5">
        <f>L10</f>
        <v>10.710208536260913</v>
      </c>
      <c r="AE6" s="5">
        <f>M11</f>
        <v>8.2210835362278001</v>
      </c>
      <c r="AF6" s="5">
        <f>N15</f>
        <v>2.0723880578837077</v>
      </c>
      <c r="AG6" s="5">
        <f>O15</f>
        <v>1.8042868902182723</v>
      </c>
      <c r="AH6" s="5">
        <f>P15</f>
        <v>1.2409630645840801</v>
      </c>
      <c r="AI6" s="5">
        <f>Q15</f>
        <v>0</v>
      </c>
      <c r="AJ6" s="5">
        <f t="shared" ref="AJ6:AN7" si="4">R15</f>
        <v>0</v>
      </c>
      <c r="AK6" s="5">
        <f t="shared" si="4"/>
        <v>0</v>
      </c>
      <c r="AL6" s="5">
        <f t="shared" si="4"/>
        <v>0</v>
      </c>
      <c r="AM6" s="5">
        <f t="shared" si="4"/>
        <v>0</v>
      </c>
      <c r="AN6" s="5">
        <f t="shared" si="4"/>
        <v>0</v>
      </c>
      <c r="AP6" s="7"/>
    </row>
    <row r="7" spans="1:42" x14ac:dyDescent="0.25">
      <c r="B7" s="3"/>
      <c r="F7" s="3"/>
      <c r="G7" s="11">
        <f t="shared" si="0"/>
        <v>1.5999999999999999</v>
      </c>
      <c r="H7" s="18">
        <f t="shared" si="1"/>
        <v>18</v>
      </c>
      <c r="I7" s="19">
        <f t="shared" ref="I7:U7" si="5">0.25*(I20+J21+I22+H21)</f>
        <v>17.851591650919914</v>
      </c>
      <c r="J7" s="19">
        <f t="shared" si="5"/>
        <v>17.688795506356211</v>
      </c>
      <c r="K7" s="19">
        <f t="shared" si="5"/>
        <v>17.496141147302616</v>
      </c>
      <c r="L7" s="19">
        <f t="shared" si="5"/>
        <v>17.255879651431158</v>
      </c>
      <c r="M7" s="19">
        <f t="shared" si="5"/>
        <v>16.94652506224012</v>
      </c>
      <c r="N7" s="19">
        <f t="shared" si="5"/>
        <v>16.54089993478955</v>
      </c>
      <c r="O7" s="19">
        <f t="shared" si="5"/>
        <v>16.003300033673156</v>
      </c>
      <c r="P7" s="19">
        <f t="shared" si="5"/>
        <v>15.285150173760048</v>
      </c>
      <c r="Q7" s="19">
        <f t="shared" si="5"/>
        <v>14.318162229927442</v>
      </c>
      <c r="R7" s="19">
        <f t="shared" si="5"/>
        <v>13.003426851807843</v>
      </c>
      <c r="S7" s="19">
        <f t="shared" si="5"/>
        <v>11.193769972551777</v>
      </c>
      <c r="T7" s="19">
        <f t="shared" si="5"/>
        <v>8.6673944683194577</v>
      </c>
      <c r="U7" s="19">
        <f t="shared" si="5"/>
        <v>5.1414473429090943</v>
      </c>
      <c r="V7" s="19">
        <f>V8+$B$6*$B$2</f>
        <v>1</v>
      </c>
      <c r="W7" s="4">
        <v>9</v>
      </c>
      <c r="Y7" s="5" t="s">
        <v>12</v>
      </c>
      <c r="Z7" s="5">
        <f>H16</f>
        <v>0</v>
      </c>
      <c r="AA7" s="5">
        <f t="shared" ref="AA7:AI7" si="6">I16</f>
        <v>0.2</v>
      </c>
      <c r="AB7" s="5">
        <f t="shared" si="6"/>
        <v>0.4</v>
      </c>
      <c r="AC7" s="5">
        <f t="shared" si="6"/>
        <v>0.60000000000000009</v>
      </c>
      <c r="AD7" s="5">
        <f t="shared" si="6"/>
        <v>0.8</v>
      </c>
      <c r="AE7" s="5">
        <f t="shared" si="6"/>
        <v>1</v>
      </c>
      <c r="AF7" s="5">
        <f t="shared" si="6"/>
        <v>1.2</v>
      </c>
      <c r="AG7" s="5">
        <f t="shared" si="6"/>
        <v>1.4</v>
      </c>
      <c r="AH7" s="5">
        <f t="shared" si="6"/>
        <v>1.5999999999999999</v>
      </c>
      <c r="AI7" s="5">
        <f t="shared" si="6"/>
        <v>1.7999999999999998</v>
      </c>
      <c r="AJ7" s="5">
        <f t="shared" si="4"/>
        <v>1.9999999999999998</v>
      </c>
      <c r="AK7" s="5">
        <f t="shared" si="4"/>
        <v>2.1999999999999997</v>
      </c>
      <c r="AL7" s="5">
        <f>T16</f>
        <v>2.4</v>
      </c>
      <c r="AM7" s="5">
        <f t="shared" si="4"/>
        <v>2.6</v>
      </c>
      <c r="AN7" s="5">
        <f t="shared" si="4"/>
        <v>2.8000000000000003</v>
      </c>
      <c r="AP7" s="7"/>
    </row>
    <row r="8" spans="1:42" x14ac:dyDescent="0.25">
      <c r="A8" s="1" t="s">
        <v>4</v>
      </c>
      <c r="B8" s="4">
        <v>350</v>
      </c>
      <c r="C8">
        <v>350</v>
      </c>
      <c r="F8" s="3"/>
      <c r="G8" s="11">
        <f t="shared" si="0"/>
        <v>1.4</v>
      </c>
      <c r="H8" s="18">
        <f t="shared" si="1"/>
        <v>16</v>
      </c>
      <c r="I8" s="19">
        <f t="shared" ref="I8:T15" si="7">0.25*(I21+J22+I23+H22)</f>
        <v>15.795516346425508</v>
      </c>
      <c r="J8" s="19">
        <f t="shared" si="7"/>
        <v>15.570821581934624</v>
      </c>
      <c r="K8" s="19">
        <f t="shared" si="7"/>
        <v>15.304228515448184</v>
      </c>
      <c r="L8" s="19">
        <f t="shared" si="7"/>
        <v>14.970976741885934</v>
      </c>
      <c r="M8" s="19">
        <f t="shared" si="7"/>
        <v>14.541357619219486</v>
      </c>
      <c r="N8" s="19">
        <f t="shared" si="7"/>
        <v>13.978322161298188</v>
      </c>
      <c r="O8" s="19">
        <f t="shared" si="7"/>
        <v>13.234201990564717</v>
      </c>
      <c r="P8" s="19">
        <f t="shared" si="7"/>
        <v>12.24609784687258</v>
      </c>
      <c r="Q8" s="19">
        <f t="shared" si="7"/>
        <v>10.930006894190281</v>
      </c>
      <c r="R8" s="19">
        <f t="shared" si="7"/>
        <v>9.176717371715581</v>
      </c>
      <c r="S8" s="19">
        <f t="shared" si="7"/>
        <v>6.861518610722162</v>
      </c>
      <c r="T8" s="19">
        <f t="shared" si="7"/>
        <v>3.8822282579956724</v>
      </c>
      <c r="U8" s="19"/>
      <c r="V8" s="19"/>
      <c r="W8" s="4">
        <v>8</v>
      </c>
      <c r="Y8" s="5" t="s">
        <v>13</v>
      </c>
      <c r="Z8" s="5">
        <f>$G10</f>
        <v>1</v>
      </c>
      <c r="AA8" s="5">
        <f>$G10</f>
        <v>1</v>
      </c>
      <c r="AB8" s="5">
        <f>$G10</f>
        <v>1</v>
      </c>
      <c r="AC8" s="5">
        <f>$G10</f>
        <v>1</v>
      </c>
      <c r="AD8" s="5">
        <f>$G10</f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 t="shared" ref="AI8:AN8" si="8">$G15</f>
        <v>0</v>
      </c>
      <c r="AJ8" s="5">
        <f t="shared" si="8"/>
        <v>0</v>
      </c>
      <c r="AK8" s="5">
        <f t="shared" si="8"/>
        <v>0</v>
      </c>
      <c r="AL8" s="5">
        <f t="shared" si="8"/>
        <v>0</v>
      </c>
      <c r="AM8" s="5">
        <f t="shared" si="8"/>
        <v>0</v>
      </c>
      <c r="AN8" s="5">
        <f t="shared" si="8"/>
        <v>0</v>
      </c>
      <c r="AP8" s="7"/>
    </row>
    <row r="9" spans="1:42" x14ac:dyDescent="0.25">
      <c r="B9" s="3"/>
      <c r="F9" s="3"/>
      <c r="G9" s="11">
        <f t="shared" si="0"/>
        <v>1.2</v>
      </c>
      <c r="H9" s="18">
        <f t="shared" si="1"/>
        <v>14</v>
      </c>
      <c r="I9" s="19">
        <f t="shared" ref="I9:I15" si="9">0.25*(I22+J23+I24+H23)</f>
        <v>13.759652315529888</v>
      </c>
      <c r="J9" s="19">
        <f t="shared" si="7"/>
        <v>13.494746263203726</v>
      </c>
      <c r="K9" s="19">
        <f t="shared" si="7"/>
        <v>13.17897502554044</v>
      </c>
      <c r="L9" s="19">
        <f t="shared" si="7"/>
        <v>12.78244169014245</v>
      </c>
      <c r="M9" s="19">
        <f t="shared" si="7"/>
        <v>12.269607078743004</v>
      </c>
      <c r="N9" s="19">
        <f t="shared" si="7"/>
        <v>11.596829653856943</v>
      </c>
      <c r="O9" s="19">
        <f t="shared" si="7"/>
        <v>10.70908844669507</v>
      </c>
      <c r="P9" s="19">
        <f t="shared" si="7"/>
        <v>9.5350327664719057</v>
      </c>
      <c r="Q9" s="19">
        <f>0.25*(Q22+R23+Q24+P23)</f>
        <v>7.9790504753759492</v>
      </c>
      <c r="R9" s="19">
        <f>0.25*(R22+S23+R24+Q23)</f>
        <v>5.9119173586499461</v>
      </c>
      <c r="S9" s="19">
        <f>0.25*(S22+T23+S24+R23)</f>
        <v>3.1933589691430102</v>
      </c>
      <c r="T9" s="19"/>
      <c r="U9" s="19"/>
      <c r="V9" s="19"/>
      <c r="W9" s="4">
        <v>7</v>
      </c>
      <c r="Y9" s="5" t="s">
        <v>10</v>
      </c>
      <c r="Z9" s="5">
        <f t="shared" ref="Z9:AE9" si="10">H38</f>
        <v>10</v>
      </c>
      <c r="AA9" s="5">
        <f t="shared" si="10"/>
        <v>10.056527367511876</v>
      </c>
      <c r="AB9" s="5">
        <f t="shared" si="10"/>
        <v>10.126048804075642</v>
      </c>
      <c r="AC9" s="5">
        <f t="shared" si="10"/>
        <v>10.222454432747545</v>
      </c>
      <c r="AD9" s="5">
        <f t="shared" si="10"/>
        <v>10.361165769407688</v>
      </c>
      <c r="AE9" s="5">
        <f t="shared" si="10"/>
        <v>10.559035356295974</v>
      </c>
      <c r="AF9" s="5">
        <f t="shared" ref="AF9:AN9" si="11">N43</f>
        <v>5.1091909959365633</v>
      </c>
      <c r="AG9" s="5">
        <f t="shared" si="11"/>
        <v>3.4975484206084606</v>
      </c>
      <c r="AH9" s="5">
        <f t="shared" si="11"/>
        <v>1.5930119222488481</v>
      </c>
      <c r="AI9" s="5">
        <f t="shared" si="11"/>
        <v>0</v>
      </c>
      <c r="AJ9" s="5">
        <f t="shared" si="11"/>
        <v>0</v>
      </c>
      <c r="AK9" s="5">
        <f t="shared" si="11"/>
        <v>0</v>
      </c>
      <c r="AL9" s="5">
        <f t="shared" si="11"/>
        <v>0</v>
      </c>
      <c r="AM9" s="5">
        <f t="shared" si="11"/>
        <v>0</v>
      </c>
      <c r="AN9" s="5">
        <f t="shared" si="11"/>
        <v>0</v>
      </c>
    </row>
    <row r="10" spans="1:42" x14ac:dyDescent="0.25">
      <c r="A10" s="1" t="s">
        <v>5</v>
      </c>
      <c r="B10" s="4">
        <v>15</v>
      </c>
      <c r="F10" s="3"/>
      <c r="G10" s="11">
        <f t="shared" si="0"/>
        <v>1</v>
      </c>
      <c r="H10" s="18">
        <f t="shared" si="1"/>
        <v>12</v>
      </c>
      <c r="I10" s="19">
        <f t="shared" si="9"/>
        <v>11.748346842027512</v>
      </c>
      <c r="J10" s="19">
        <f t="shared" si="7"/>
        <v>11.469536502388598</v>
      </c>
      <c r="K10" s="19">
        <f t="shared" si="7"/>
        <v>11.134484138990931</v>
      </c>
      <c r="L10" s="19">
        <f t="shared" si="7"/>
        <v>10.710208536260913</v>
      </c>
      <c r="M10" s="19">
        <f t="shared" si="7"/>
        <v>10.157800007483809</v>
      </c>
      <c r="N10" s="19">
        <f t="shared" si="7"/>
        <v>9.4303015985244976</v>
      </c>
      <c r="O10" s="19">
        <f t="shared" si="7"/>
        <v>8.470289974430381</v>
      </c>
      <c r="P10" s="19">
        <f t="shared" si="7"/>
        <v>7.205894811599495</v>
      </c>
      <c r="Q10" s="19">
        <f>0.25*(Q23+R24+Q25+P24)</f>
        <v>5.5392452554518083</v>
      </c>
      <c r="R10" s="19">
        <f>0.25*(R23+S24+R25+Q24)</f>
        <v>3.2985428548043165</v>
      </c>
      <c r="S10" s="19"/>
      <c r="T10" s="19"/>
      <c r="U10" s="19"/>
      <c r="V10" s="19"/>
      <c r="W10" s="4">
        <v>6</v>
      </c>
      <c r="Y10" s="5" t="s">
        <v>11</v>
      </c>
      <c r="Z10" s="5">
        <f>H52</f>
        <v>1.2582657898624383</v>
      </c>
      <c r="AA10" s="5">
        <f>I52</f>
        <v>1.3940516981945716</v>
      </c>
      <c r="AB10" s="5">
        <f>J52</f>
        <v>1.6752618169883338</v>
      </c>
      <c r="AC10" s="5">
        <f>K52</f>
        <v>2.1213780136500926</v>
      </c>
      <c r="AD10" s="5">
        <f>L52</f>
        <v>2.7620426438855183</v>
      </c>
      <c r="AE10" s="5">
        <f>M57</f>
        <v>0.59325600434386505</v>
      </c>
      <c r="AF10" s="5">
        <f>N57</f>
        <v>1.3405058383271773</v>
      </c>
      <c r="AG10" s="5">
        <f>O57</f>
        <v>2.8166191281709607</v>
      </c>
      <c r="AH10" s="5">
        <f>P56</f>
        <v>6.2594914358499105</v>
      </c>
      <c r="AI10" s="5">
        <f t="shared" ref="AI10:AN10" si="12">Q57</f>
        <v>0</v>
      </c>
      <c r="AJ10" s="5">
        <f t="shared" si="12"/>
        <v>0</v>
      </c>
      <c r="AK10" s="5">
        <f t="shared" si="12"/>
        <v>0</v>
      </c>
      <c r="AL10" s="5">
        <f t="shared" si="12"/>
        <v>0</v>
      </c>
      <c r="AM10" s="5">
        <f t="shared" si="12"/>
        <v>0</v>
      </c>
      <c r="AN10" s="5">
        <f t="shared" si="12"/>
        <v>0</v>
      </c>
    </row>
    <row r="11" spans="1:42" x14ac:dyDescent="0.25">
      <c r="A11" s="1" t="s">
        <v>6</v>
      </c>
      <c r="B11" s="4">
        <v>11</v>
      </c>
      <c r="F11" s="3"/>
      <c r="G11" s="11">
        <f t="shared" si="0"/>
        <v>0.8</v>
      </c>
      <c r="H11" s="18">
        <f t="shared" si="1"/>
        <v>10</v>
      </c>
      <c r="I11" s="19">
        <f t="shared" si="9"/>
        <v>9.7641987603268596</v>
      </c>
      <c r="J11" s="19">
        <f t="shared" si="7"/>
        <v>9.5005691569933521</v>
      </c>
      <c r="K11" s="19">
        <f t="shared" si="7"/>
        <v>9.1792170509385294</v>
      </c>
      <c r="L11" s="19">
        <f t="shared" si="7"/>
        <v>8.7661089592473811</v>
      </c>
      <c r="M11" s="19">
        <f t="shared" si="7"/>
        <v>8.2210835362278001</v>
      </c>
      <c r="N11" s="19">
        <f t="shared" si="7"/>
        <v>7.4962874507275394</v>
      </c>
      <c r="O11" s="19">
        <f t="shared" si="7"/>
        <v>6.5358756840372543</v>
      </c>
      <c r="P11" s="19">
        <f t="shared" si="7"/>
        <v>5.2790117615116214</v>
      </c>
      <c r="Q11" s="19">
        <f>0.25*(Q24+R25+Q26+P25)</f>
        <v>3.6734932497293293</v>
      </c>
      <c r="R11" s="19">
        <f>0.25*(R24+S25+R26+Q25)</f>
        <v>1.7430089929720016</v>
      </c>
      <c r="S11" s="19"/>
      <c r="T11" s="19"/>
      <c r="U11" s="19"/>
      <c r="V11" s="19"/>
      <c r="W11" s="4">
        <v>5</v>
      </c>
      <c r="Y11" s="5" t="s">
        <v>14</v>
      </c>
      <c r="Z11" s="5">
        <f>((Z9)^2+(Z10)^2)^0.5</f>
        <v>10.078850767718418</v>
      </c>
      <c r="AA11" s="5">
        <f t="shared" ref="AA11:AN11" si="13">((AA9)^2+(AA10)^2)^0.5</f>
        <v>10.15269042326981</v>
      </c>
      <c r="AB11" s="5">
        <f t="shared" si="13"/>
        <v>10.263691662261722</v>
      </c>
      <c r="AC11" s="5">
        <f t="shared" si="13"/>
        <v>10.440249963789084</v>
      </c>
      <c r="AD11" s="5">
        <f t="shared" si="13"/>
        <v>10.722995648035473</v>
      </c>
      <c r="AE11" s="5">
        <f>((AE9)^2+(AE10)^2)^0.5</f>
        <v>10.575688173457012</v>
      </c>
      <c r="AF11" s="5">
        <f t="shared" si="13"/>
        <v>5.2821197009863852</v>
      </c>
      <c r="AG11" s="5">
        <f t="shared" si="13"/>
        <v>4.4906779296314809</v>
      </c>
      <c r="AH11" s="5">
        <f t="shared" si="13"/>
        <v>6.4590185028303901</v>
      </c>
      <c r="AI11" s="5">
        <f t="shared" si="13"/>
        <v>0</v>
      </c>
      <c r="AJ11" s="5">
        <f>((AJ9)^2+(AJ10)^2)^0.5</f>
        <v>0</v>
      </c>
      <c r="AK11" s="5">
        <f t="shared" si="13"/>
        <v>0</v>
      </c>
      <c r="AL11" s="5">
        <f t="shared" si="13"/>
        <v>0</v>
      </c>
      <c r="AM11" s="5">
        <f t="shared" si="13"/>
        <v>0</v>
      </c>
      <c r="AN11" s="5">
        <f t="shared" si="13"/>
        <v>0</v>
      </c>
    </row>
    <row r="12" spans="1:42" x14ac:dyDescent="0.25">
      <c r="A12" s="1" t="s">
        <v>7</v>
      </c>
      <c r="B12" s="4">
        <v>15</v>
      </c>
      <c r="F12" s="23"/>
      <c r="G12" s="11">
        <f t="shared" si="0"/>
        <v>0.60000000000000009</v>
      </c>
      <c r="H12" s="18">
        <f t="shared" si="1"/>
        <v>8</v>
      </c>
      <c r="I12" s="19">
        <f t="shared" si="9"/>
        <v>7.8078792453433579</v>
      </c>
      <c r="J12" s="19">
        <f t="shared" si="7"/>
        <v>7.5893247127334966</v>
      </c>
      <c r="K12" s="19">
        <f t="shared" si="7"/>
        <v>7.3157064873000373</v>
      </c>
      <c r="L12" s="19">
        <f t="shared" si="7"/>
        <v>6.9539273722111723</v>
      </c>
      <c r="M12" s="19">
        <f t="shared" si="7"/>
        <v>6.4641384149755048</v>
      </c>
      <c r="N12" s="19">
        <f t="shared" si="7"/>
        <v>5.7978896743483901</v>
      </c>
      <c r="O12" s="19">
        <f t="shared" si="7"/>
        <v>4.8979141473388532</v>
      </c>
      <c r="P12" s="19">
        <f t="shared" si="7"/>
        <v>3.7007837846465965</v>
      </c>
      <c r="Q12" s="19">
        <f>0.25*(Q25+R26+Q27+P26)</f>
        <v>2.1327072961779896</v>
      </c>
      <c r="R12" s="19"/>
      <c r="S12" s="19"/>
      <c r="T12" s="19"/>
      <c r="U12" s="19"/>
      <c r="V12" s="19"/>
      <c r="W12" s="4">
        <v>4</v>
      </c>
      <c r="Y12" s="5" t="s">
        <v>15</v>
      </c>
      <c r="Z12" s="8">
        <f>B5</f>
        <v>101325</v>
      </c>
      <c r="AA12" s="8">
        <f>(Z12+(Z11^2)/2)-(AA11^2)/2</f>
        <v>101324.25305498359</v>
      </c>
      <c r="AB12" s="8">
        <f t="shared" ref="AB12:AN12" si="14">(AA12+(AA11^2)/2)-(AB11^2)/2</f>
        <v>101323.11993312999</v>
      </c>
      <c r="AC12" s="8">
        <f t="shared" si="14"/>
        <v>101321.29220674577</v>
      </c>
      <c r="AD12" s="8">
        <f t="shared" si="14"/>
        <v>101318.30029856508</v>
      </c>
      <c r="AE12" s="8">
        <f t="shared" si="14"/>
        <v>101319.86902622787</v>
      </c>
      <c r="AF12" s="8">
        <f t="shared" si="14"/>
        <v>101361.8412221312</v>
      </c>
      <c r="AG12" s="8">
        <f t="shared" si="14"/>
        <v>101365.70852226514</v>
      </c>
      <c r="AH12" s="8">
        <f t="shared" si="14"/>
        <v>101354.93215638903</v>
      </c>
      <c r="AI12" s="8">
        <f t="shared" si="14"/>
        <v>101375.79161639897</v>
      </c>
      <c r="AJ12" s="8">
        <f t="shared" si="14"/>
        <v>101375.79161639897</v>
      </c>
      <c r="AK12" s="8">
        <f t="shared" si="14"/>
        <v>101375.79161639897</v>
      </c>
      <c r="AL12" s="8">
        <f t="shared" si="14"/>
        <v>101375.79161639897</v>
      </c>
      <c r="AM12" s="8">
        <f t="shared" si="14"/>
        <v>101375.79161639897</v>
      </c>
      <c r="AN12" s="8">
        <f t="shared" si="14"/>
        <v>101375.79161639897</v>
      </c>
    </row>
    <row r="13" spans="1:42" x14ac:dyDescent="0.25">
      <c r="A13" s="1" t="s">
        <v>8</v>
      </c>
      <c r="B13" s="4">
        <v>6</v>
      </c>
      <c r="F13" s="3"/>
      <c r="G13" s="11">
        <f t="shared" si="0"/>
        <v>0.4</v>
      </c>
      <c r="H13" s="18">
        <f t="shared" si="1"/>
        <v>6</v>
      </c>
      <c r="I13" s="19">
        <f t="shared" si="9"/>
        <v>5.8779936983287753</v>
      </c>
      <c r="J13" s="19">
        <f t="shared" si="7"/>
        <v>5.7331443147402883</v>
      </c>
      <c r="K13" s="19">
        <f t="shared" si="7"/>
        <v>5.5403573159495076</v>
      </c>
      <c r="L13" s="19">
        <f t="shared" si="7"/>
        <v>5.2697562083725131</v>
      </c>
      <c r="M13" s="19">
        <f t="shared" si="7"/>
        <v>4.8836537122511396</v>
      </c>
      <c r="N13" s="19">
        <f t="shared" si="7"/>
        <v>4.3332192825978613</v>
      </c>
      <c r="O13" s="19">
        <f t="shared" si="7"/>
        <v>3.5571079802066548</v>
      </c>
      <c r="P13" s="19">
        <f t="shared" si="7"/>
        <v>2.4935023232660889</v>
      </c>
      <c r="Q13" s="19">
        <f>0.25*(Q26+R27+Q28+P27)</f>
        <v>1.1565523721379378</v>
      </c>
      <c r="R13" s="19"/>
      <c r="S13" s="19"/>
      <c r="T13" s="19"/>
      <c r="U13" s="19"/>
      <c r="V13" s="19"/>
      <c r="W13" s="4">
        <v>3</v>
      </c>
      <c r="Y13" s="5" t="s">
        <v>16</v>
      </c>
      <c r="Z13" s="5">
        <f>(Z12-$B$5)/(($B$4^2)/2)</f>
        <v>0</v>
      </c>
      <c r="AA13" s="5">
        <f t="shared" ref="AA13:AN13" si="15">(AA12-$B$5)/(($B$4^2)/2)</f>
        <v>-1.4938900328124873E-2</v>
      </c>
      <c r="AB13" s="5">
        <f t="shared" si="15"/>
        <v>-3.7601337400265035E-2</v>
      </c>
      <c r="AC13" s="5">
        <f t="shared" si="15"/>
        <v>-7.4155865084612749E-2</v>
      </c>
      <c r="AD13" s="5">
        <f t="shared" si="15"/>
        <v>-0.13399402869836194</v>
      </c>
      <c r="AE13" s="5">
        <f t="shared" si="15"/>
        <v>-0.10261947544262512</v>
      </c>
      <c r="AF13" s="5">
        <f t="shared" si="15"/>
        <v>0.73682444262405622</v>
      </c>
      <c r="AG13" s="5">
        <f t="shared" si="15"/>
        <v>0.81417044530273419</v>
      </c>
      <c r="AH13" s="5">
        <f t="shared" si="15"/>
        <v>0.59864312778052409</v>
      </c>
      <c r="AI13" s="5">
        <f t="shared" si="15"/>
        <v>1.0158323279794421</v>
      </c>
      <c r="AJ13" s="5">
        <f t="shared" si="15"/>
        <v>1.0158323279794421</v>
      </c>
      <c r="AK13" s="5">
        <f t="shared" si="15"/>
        <v>1.0158323279794421</v>
      </c>
      <c r="AL13" s="5">
        <f t="shared" si="15"/>
        <v>1.0158323279794421</v>
      </c>
      <c r="AM13" s="5">
        <f t="shared" si="15"/>
        <v>1.0158323279794421</v>
      </c>
      <c r="AN13" s="5">
        <f t="shared" si="15"/>
        <v>1.0158323279794421</v>
      </c>
    </row>
    <row r="14" spans="1:42" x14ac:dyDescent="0.25">
      <c r="A14" s="2" t="s">
        <v>9</v>
      </c>
      <c r="B14" s="4">
        <v>0</v>
      </c>
      <c r="F14" s="3"/>
      <c r="G14" s="11">
        <f>G15+B$2</f>
        <v>0.2</v>
      </c>
      <c r="H14" s="18">
        <f t="shared" si="1"/>
        <v>4</v>
      </c>
      <c r="I14" s="19">
        <f t="shared" si="9"/>
        <v>3.9709513858975143</v>
      </c>
      <c r="J14" s="19">
        <f t="shared" si="7"/>
        <v>3.9249018308788512</v>
      </c>
      <c r="K14" s="19">
        <f t="shared" si="7"/>
        <v>3.8428226560107364</v>
      </c>
      <c r="L14" s="19">
        <f t="shared" si="7"/>
        <v>3.7010869217689715</v>
      </c>
      <c r="M14" s="19">
        <f t="shared" si="7"/>
        <v>3.4675014466593286</v>
      </c>
      <c r="N14" s="19">
        <f t="shared" si="7"/>
        <v>3.0942262570710204</v>
      </c>
      <c r="O14" s="19">
        <f t="shared" si="7"/>
        <v>2.5037965743399644</v>
      </c>
      <c r="P14" s="19">
        <f t="shared" si="7"/>
        <v>1.5595654490338497</v>
      </c>
      <c r="Q14" s="19"/>
      <c r="R14" s="19"/>
      <c r="S14" s="19"/>
      <c r="T14" s="19"/>
      <c r="U14" s="19"/>
      <c r="V14" s="19"/>
      <c r="W14" s="4">
        <v>2</v>
      </c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spans="1:42" x14ac:dyDescent="0.25">
      <c r="F15" s="3"/>
      <c r="G15" s="11">
        <v>0</v>
      </c>
      <c r="H15" s="18">
        <f t="shared" si="1"/>
        <v>2</v>
      </c>
      <c r="I15" s="19">
        <f t="shared" si="9"/>
        <v>2.0809101258297842</v>
      </c>
      <c r="J15" s="19">
        <f t="shared" si="7"/>
        <v>2.1526891737799883</v>
      </c>
      <c r="K15" s="19">
        <f t="shared" si="7"/>
        <v>2.204944848605515</v>
      </c>
      <c r="L15" s="19">
        <f t="shared" si="7"/>
        <v>2.2242677126204287</v>
      </c>
      <c r="M15" s="19">
        <f t="shared" si="7"/>
        <v>2.1910392587524807</v>
      </c>
      <c r="N15" s="19">
        <f t="shared" si="7"/>
        <v>2.0723880578837077</v>
      </c>
      <c r="O15" s="19">
        <f t="shared" si="7"/>
        <v>1.8042868902182723</v>
      </c>
      <c r="P15" s="19">
        <f t="shared" si="7"/>
        <v>1.2409630645840801</v>
      </c>
      <c r="Q15" s="21"/>
      <c r="R15" s="21"/>
      <c r="S15" s="21"/>
      <c r="T15" s="21"/>
      <c r="U15" s="21"/>
      <c r="V15" s="21"/>
      <c r="W15" s="4">
        <v>1</v>
      </c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spans="1:42" x14ac:dyDescent="0.25">
      <c r="F16" s="3"/>
      <c r="G16" s="10"/>
      <c r="H16" s="11">
        <v>0</v>
      </c>
      <c r="I16" s="11">
        <f>H16+$B$2</f>
        <v>0.2</v>
      </c>
      <c r="J16" s="11">
        <f t="shared" ref="J16:V16" si="16">I16+$B$2</f>
        <v>0.4</v>
      </c>
      <c r="K16" s="11">
        <f t="shared" si="16"/>
        <v>0.60000000000000009</v>
      </c>
      <c r="L16" s="11">
        <f t="shared" si="16"/>
        <v>0.8</v>
      </c>
      <c r="M16" s="11">
        <f t="shared" si="16"/>
        <v>1</v>
      </c>
      <c r="N16" s="11">
        <f t="shared" si="16"/>
        <v>1.2</v>
      </c>
      <c r="O16" s="11">
        <f t="shared" si="16"/>
        <v>1.4</v>
      </c>
      <c r="P16" s="11">
        <f t="shared" si="16"/>
        <v>1.5999999999999999</v>
      </c>
      <c r="Q16" s="11">
        <f t="shared" si="16"/>
        <v>1.7999999999999998</v>
      </c>
      <c r="R16" s="11">
        <f t="shared" si="16"/>
        <v>1.9999999999999998</v>
      </c>
      <c r="S16" s="11">
        <f t="shared" si="16"/>
        <v>2.1999999999999997</v>
      </c>
      <c r="T16" s="11">
        <f t="shared" si="16"/>
        <v>2.4</v>
      </c>
      <c r="U16" s="11">
        <f t="shared" si="16"/>
        <v>2.6</v>
      </c>
      <c r="V16" s="11">
        <f t="shared" si="16"/>
        <v>2.8000000000000003</v>
      </c>
      <c r="W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spans="6:40" x14ac:dyDescent="0.25">
      <c r="F17" s="3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spans="6:40" x14ac:dyDescent="0.25">
      <c r="F18" s="3"/>
      <c r="G18" s="10"/>
      <c r="H18" s="17">
        <v>1</v>
      </c>
      <c r="I18" s="17">
        <v>2</v>
      </c>
      <c r="J18" s="17">
        <v>3</v>
      </c>
      <c r="K18" s="17">
        <v>4</v>
      </c>
      <c r="L18" s="17">
        <v>5</v>
      </c>
      <c r="M18" s="17">
        <v>6</v>
      </c>
      <c r="N18" s="17">
        <v>7</v>
      </c>
      <c r="O18" s="17">
        <v>8</v>
      </c>
      <c r="P18" s="17">
        <v>9</v>
      </c>
      <c r="Q18" s="17">
        <v>10</v>
      </c>
      <c r="R18" s="17">
        <v>11</v>
      </c>
      <c r="S18" s="17">
        <v>12</v>
      </c>
      <c r="T18" s="17">
        <v>13</v>
      </c>
      <c r="U18" s="17">
        <v>14</v>
      </c>
      <c r="V18" s="17">
        <v>15</v>
      </c>
      <c r="W18" s="6"/>
      <c r="Y18" s="25">
        <v>0</v>
      </c>
      <c r="Z18" s="25">
        <v>1</v>
      </c>
      <c r="AA18" s="25">
        <v>2</v>
      </c>
      <c r="AB18" s="25">
        <v>3</v>
      </c>
      <c r="AC18" s="25">
        <v>4</v>
      </c>
      <c r="AD18" s="25">
        <v>5</v>
      </c>
      <c r="AE18" s="25">
        <v>6</v>
      </c>
      <c r="AF18" s="25">
        <v>7</v>
      </c>
      <c r="AG18" s="25">
        <v>8</v>
      </c>
      <c r="AH18" s="25">
        <v>9</v>
      </c>
      <c r="AI18" s="25">
        <v>10</v>
      </c>
      <c r="AJ18" s="25">
        <v>11</v>
      </c>
      <c r="AK18" s="25">
        <v>12</v>
      </c>
      <c r="AL18" s="25">
        <v>13</v>
      </c>
      <c r="AM18" s="25">
        <v>14</v>
      </c>
      <c r="AN18" s="25">
        <v>15</v>
      </c>
    </row>
    <row r="19" spans="6:40" x14ac:dyDescent="0.25">
      <c r="F19" s="3"/>
      <c r="G19" s="11">
        <f t="shared" ref="G19:G27" si="17">G20+B$2</f>
        <v>1.9999999999999998</v>
      </c>
      <c r="H19" s="12">
        <v>22</v>
      </c>
      <c r="I19" s="12">
        <v>22</v>
      </c>
      <c r="J19" s="12">
        <v>22</v>
      </c>
      <c r="K19" s="12">
        <v>22</v>
      </c>
      <c r="L19" s="12">
        <v>22</v>
      </c>
      <c r="M19" s="12">
        <v>22</v>
      </c>
      <c r="N19" s="12">
        <v>22</v>
      </c>
      <c r="O19" s="12">
        <v>22</v>
      </c>
      <c r="P19" s="12">
        <v>22</v>
      </c>
      <c r="Q19" s="12">
        <v>22</v>
      </c>
      <c r="R19" s="12">
        <v>22</v>
      </c>
      <c r="S19" s="12">
        <v>22</v>
      </c>
      <c r="T19" s="12">
        <v>22</v>
      </c>
      <c r="U19" s="12">
        <v>22</v>
      </c>
      <c r="V19" s="12">
        <v>22</v>
      </c>
      <c r="W19" s="6"/>
      <c r="Y19" s="26" t="s">
        <v>9</v>
      </c>
      <c r="Z19" s="5">
        <f>H5</f>
        <v>22</v>
      </c>
      <c r="AA19" s="5">
        <f t="shared" ref="AA19:AN19" si="18">I5</f>
        <v>22</v>
      </c>
      <c r="AB19" s="5">
        <f t="shared" si="18"/>
        <v>22</v>
      </c>
      <c r="AC19" s="5">
        <f t="shared" si="18"/>
        <v>22</v>
      </c>
      <c r="AD19" s="5">
        <f>L5</f>
        <v>22</v>
      </c>
      <c r="AE19" s="5">
        <f t="shared" si="18"/>
        <v>22</v>
      </c>
      <c r="AF19" s="5">
        <f t="shared" si="18"/>
        <v>22</v>
      </c>
      <c r="AG19" s="5">
        <f t="shared" si="18"/>
        <v>22</v>
      </c>
      <c r="AH19" s="5">
        <f>P5</f>
        <v>22</v>
      </c>
      <c r="AI19" s="5">
        <f t="shared" si="18"/>
        <v>22</v>
      </c>
      <c r="AJ19" s="5">
        <f t="shared" si="18"/>
        <v>22</v>
      </c>
      <c r="AK19" s="5">
        <f t="shared" si="18"/>
        <v>22</v>
      </c>
      <c r="AL19" s="5">
        <f t="shared" si="18"/>
        <v>22</v>
      </c>
      <c r="AM19" s="5">
        <f t="shared" si="18"/>
        <v>22</v>
      </c>
      <c r="AN19" s="5">
        <f t="shared" si="18"/>
        <v>22</v>
      </c>
    </row>
    <row r="20" spans="6:40" x14ac:dyDescent="0.25">
      <c r="F20" s="3"/>
      <c r="G20" s="11">
        <f t="shared" si="17"/>
        <v>1.7999999999999998</v>
      </c>
      <c r="H20" s="12">
        <v>20</v>
      </c>
      <c r="I20" s="12">
        <v>19.922054849277178</v>
      </c>
      <c r="J20" s="12">
        <v>19.836627838883281</v>
      </c>
      <c r="K20" s="12">
        <v>19.735661179311762</v>
      </c>
      <c r="L20" s="12">
        <v>19.609875979369445</v>
      </c>
      <c r="M20" s="12">
        <v>19.44796338836041</v>
      </c>
      <c r="N20" s="12">
        <v>19.235452837681123</v>
      </c>
      <c r="O20" s="12">
        <v>18.952948358787676</v>
      </c>
      <c r="P20" s="12">
        <v>18.573040870903093</v>
      </c>
      <c r="Q20" s="12">
        <v>18.054065220202702</v>
      </c>
      <c r="R20" s="12">
        <v>17.325057992747031</v>
      </c>
      <c r="S20" s="12">
        <v>16.242740053857105</v>
      </c>
      <c r="T20" s="12">
        <v>14.452132347062085</v>
      </c>
      <c r="U20" s="12">
        <v>10.89839491769682</v>
      </c>
      <c r="V20" s="12">
        <v>2</v>
      </c>
      <c r="W20" s="6"/>
      <c r="Y20" s="5" t="s">
        <v>12</v>
      </c>
      <c r="Z20" s="5">
        <f>H30</f>
        <v>0</v>
      </c>
      <c r="AA20" s="5">
        <f t="shared" ref="AA20:AN20" si="19">I30</f>
        <v>0.2</v>
      </c>
      <c r="AB20" s="5">
        <f t="shared" si="19"/>
        <v>0.4</v>
      </c>
      <c r="AC20" s="5">
        <f t="shared" si="19"/>
        <v>0.60000000000000009</v>
      </c>
      <c r="AD20" s="5">
        <f t="shared" si="19"/>
        <v>0.8</v>
      </c>
      <c r="AE20" s="5">
        <f t="shared" si="19"/>
        <v>1</v>
      </c>
      <c r="AF20" s="5">
        <f t="shared" si="19"/>
        <v>1.2</v>
      </c>
      <c r="AG20" s="5">
        <f t="shared" si="19"/>
        <v>1.4</v>
      </c>
      <c r="AH20" s="5">
        <f t="shared" si="19"/>
        <v>1.5999999999999999</v>
      </c>
      <c r="AI20" s="5">
        <f t="shared" si="19"/>
        <v>1.7999999999999998</v>
      </c>
      <c r="AJ20" s="5">
        <f t="shared" si="19"/>
        <v>1.9999999999999998</v>
      </c>
      <c r="AK20" s="5">
        <f t="shared" si="19"/>
        <v>2.1999999999999997</v>
      </c>
      <c r="AL20" s="5">
        <f t="shared" si="19"/>
        <v>2.4</v>
      </c>
      <c r="AM20" s="5">
        <f t="shared" si="19"/>
        <v>2.6</v>
      </c>
      <c r="AN20" s="5">
        <f t="shared" si="19"/>
        <v>2.8000000000000003</v>
      </c>
    </row>
    <row r="21" spans="6:40" x14ac:dyDescent="0.25">
      <c r="F21" s="3"/>
      <c r="G21" s="11">
        <f t="shared" si="17"/>
        <v>1.5999999999999999</v>
      </c>
      <c r="H21" s="12">
        <v>18</v>
      </c>
      <c r="I21" s="12">
        <v>17.851591620395435</v>
      </c>
      <c r="J21" s="12">
        <v>17.688795449343374</v>
      </c>
      <c r="K21" s="12">
        <v>17.496141065584339</v>
      </c>
      <c r="L21" s="12">
        <v>17.255879555684835</v>
      </c>
      <c r="M21" s="12">
        <v>16.946524955186625</v>
      </c>
      <c r="N21" s="12">
        <v>16.540899829944411</v>
      </c>
      <c r="O21" s="12">
        <v>16.003299933228252</v>
      </c>
      <c r="P21" s="12">
        <v>15.285150089216788</v>
      </c>
      <c r="Q21" s="12">
        <v>14.318162161260213</v>
      </c>
      <c r="R21" s="12">
        <v>13.003426804367312</v>
      </c>
      <c r="S21" s="12">
        <v>11.193769942735535</v>
      </c>
      <c r="T21" s="12">
        <v>8.6673944539395595</v>
      </c>
      <c r="U21" s="12">
        <v>5.141447338093629</v>
      </c>
      <c r="V21" s="12">
        <v>1</v>
      </c>
      <c r="W21" s="6"/>
      <c r="Y21" s="5" t="s">
        <v>13</v>
      </c>
      <c r="Z21" s="5">
        <f>$G$19</f>
        <v>1.9999999999999998</v>
      </c>
      <c r="AA21" s="5">
        <f t="shared" ref="AA21:AN21" si="20">$G$19</f>
        <v>1.9999999999999998</v>
      </c>
      <c r="AB21" s="5">
        <f t="shared" si="20"/>
        <v>1.9999999999999998</v>
      </c>
      <c r="AC21" s="5">
        <f t="shared" si="20"/>
        <v>1.9999999999999998</v>
      </c>
      <c r="AD21" s="5">
        <f t="shared" si="20"/>
        <v>1.9999999999999998</v>
      </c>
      <c r="AE21" s="5">
        <f t="shared" si="20"/>
        <v>1.9999999999999998</v>
      </c>
      <c r="AF21" s="5">
        <f t="shared" si="20"/>
        <v>1.9999999999999998</v>
      </c>
      <c r="AG21" s="5">
        <f t="shared" si="20"/>
        <v>1.9999999999999998</v>
      </c>
      <c r="AH21" s="5">
        <f t="shared" si="20"/>
        <v>1.9999999999999998</v>
      </c>
      <c r="AI21" s="5">
        <f t="shared" si="20"/>
        <v>1.9999999999999998</v>
      </c>
      <c r="AJ21" s="5">
        <f t="shared" si="20"/>
        <v>1.9999999999999998</v>
      </c>
      <c r="AK21" s="5">
        <f t="shared" si="20"/>
        <v>1.9999999999999998</v>
      </c>
      <c r="AL21" s="5">
        <f t="shared" si="20"/>
        <v>1.9999999999999998</v>
      </c>
      <c r="AM21" s="5">
        <f t="shared" si="20"/>
        <v>1.9999999999999998</v>
      </c>
      <c r="AN21" s="5">
        <f t="shared" si="20"/>
        <v>1.9999999999999998</v>
      </c>
    </row>
    <row r="22" spans="6:40" x14ac:dyDescent="0.25">
      <c r="F22" s="3"/>
      <c r="G22" s="11">
        <f t="shared" si="17"/>
        <v>1.4</v>
      </c>
      <c r="H22" s="12">
        <v>16</v>
      </c>
      <c r="I22" s="12">
        <v>15.795516305059103</v>
      </c>
      <c r="J22" s="12">
        <v>15.570821500561781</v>
      </c>
      <c r="K22" s="12">
        <v>15.304228404870493</v>
      </c>
      <c r="L22" s="12">
        <v>14.97097660558423</v>
      </c>
      <c r="M22" s="12">
        <v>14.541357474970821</v>
      </c>
      <c r="N22" s="12">
        <v>13.978322013062215</v>
      </c>
      <c r="O22" s="12">
        <v>13.234201856743745</v>
      </c>
      <c r="P22" s="12">
        <v>12.246097729648632</v>
      </c>
      <c r="Q22" s="12">
        <v>10.93000680592297</v>
      </c>
      <c r="R22" s="12">
        <v>9.1767173104885984</v>
      </c>
      <c r="S22" s="12">
        <v>6.8615185780431309</v>
      </c>
      <c r="T22" s="12">
        <v>3.8822282453865853</v>
      </c>
      <c r="U22" s="18"/>
      <c r="V22" s="18"/>
      <c r="W22" s="6"/>
      <c r="Y22" s="5" t="s">
        <v>10</v>
      </c>
      <c r="Z22" s="5">
        <f t="shared" ref="Z22:AN22" si="21">H34</f>
        <v>10</v>
      </c>
      <c r="AA22" s="5">
        <f t="shared" si="21"/>
        <v>10.371020872700214</v>
      </c>
      <c r="AB22" s="5">
        <f t="shared" si="21"/>
        <v>10.778011234109472</v>
      </c>
      <c r="AC22" s="5">
        <f t="shared" si="21"/>
        <v>11.25964713174346</v>
      </c>
      <c r="AD22" s="5">
        <f t="shared" si="21"/>
        <v>11.860300871422105</v>
      </c>
      <c r="AE22" s="5">
        <f t="shared" si="21"/>
        <v>12.6336873443997</v>
      </c>
      <c r="AF22" s="5">
        <f t="shared" si="21"/>
        <v>13.647750163026124</v>
      </c>
      <c r="AG22" s="5">
        <f t="shared" si="21"/>
        <v>14.99174991581711</v>
      </c>
      <c r="AH22" s="5">
        <f t="shared" si="21"/>
        <v>16.787124565599878</v>
      </c>
      <c r="AI22" s="5">
        <f t="shared" si="21"/>
        <v>19.204594425181394</v>
      </c>
      <c r="AJ22" s="5">
        <f t="shared" si="21"/>
        <v>22.491432870480391</v>
      </c>
      <c r="AK22" s="5">
        <f t="shared" si="21"/>
        <v>27.015575068620556</v>
      </c>
      <c r="AL22" s="5">
        <f t="shared" si="21"/>
        <v>33.331513829201356</v>
      </c>
      <c r="AM22" s="5">
        <f t="shared" si="21"/>
        <v>42.146381642727256</v>
      </c>
      <c r="AN22" s="5">
        <f t="shared" si="21"/>
        <v>52.5</v>
      </c>
    </row>
    <row r="23" spans="6:40" x14ac:dyDescent="0.25">
      <c r="F23" s="3"/>
      <c r="G23" s="11">
        <f t="shared" si="17"/>
        <v>1.2</v>
      </c>
      <c r="H23" s="12">
        <v>14</v>
      </c>
      <c r="I23" s="12">
        <v>13.759652264744812</v>
      </c>
      <c r="J23" s="12">
        <v>13.494746168465525</v>
      </c>
      <c r="K23" s="12">
        <v>13.178974890062392</v>
      </c>
      <c r="L23" s="12">
        <v>12.782441532017588</v>
      </c>
      <c r="M23" s="12">
        <v>12.269606903044872</v>
      </c>
      <c r="N23" s="12">
        <v>11.596829483533769</v>
      </c>
      <c r="O23" s="12">
        <v>10.709088286319769</v>
      </c>
      <c r="P23" s="12">
        <v>9.535032635606818</v>
      </c>
      <c r="Q23" s="12">
        <v>7.9790503753636859</v>
      </c>
      <c r="R23" s="12">
        <v>5.911917298528909</v>
      </c>
      <c r="S23" s="12">
        <v>3.1933589442779273</v>
      </c>
      <c r="T23" s="18"/>
      <c r="U23" s="18"/>
      <c r="V23" s="18"/>
      <c r="W23" s="6"/>
      <c r="Y23" s="5" t="s">
        <v>11</v>
      </c>
      <c r="Z23" s="5">
        <f>H47</f>
        <v>0</v>
      </c>
      <c r="AA23" s="5">
        <f t="shared" ref="AA23:AN23" si="22">I47</f>
        <v>0</v>
      </c>
      <c r="AB23" s="5">
        <f t="shared" si="22"/>
        <v>0</v>
      </c>
      <c r="AC23" s="5">
        <f t="shared" si="22"/>
        <v>0</v>
      </c>
      <c r="AD23" s="5">
        <f>L47</f>
        <v>0</v>
      </c>
      <c r="AE23" s="5">
        <f t="shared" si="22"/>
        <v>0</v>
      </c>
      <c r="AF23" s="5">
        <f t="shared" si="22"/>
        <v>0</v>
      </c>
      <c r="AG23" s="5">
        <f t="shared" si="22"/>
        <v>0</v>
      </c>
      <c r="AH23" s="5">
        <f t="shared" si="22"/>
        <v>0</v>
      </c>
      <c r="AI23" s="5">
        <f t="shared" si="22"/>
        <v>0</v>
      </c>
      <c r="AJ23" s="5">
        <f t="shared" si="22"/>
        <v>0</v>
      </c>
      <c r="AK23" s="5">
        <f t="shared" si="22"/>
        <v>0</v>
      </c>
      <c r="AL23" s="5">
        <f t="shared" si="22"/>
        <v>0</v>
      </c>
      <c r="AM23" s="5">
        <f t="shared" si="22"/>
        <v>0</v>
      </c>
      <c r="AN23" s="5">
        <f t="shared" si="22"/>
        <v>0</v>
      </c>
    </row>
    <row r="24" spans="6:40" x14ac:dyDescent="0.25">
      <c r="F24" s="3"/>
      <c r="G24" s="11">
        <f t="shared" si="17"/>
        <v>1</v>
      </c>
      <c r="H24" s="12">
        <v>12</v>
      </c>
      <c r="I24" s="12">
        <v>11.748346788594922</v>
      </c>
      <c r="J24" s="12">
        <v>11.469536397445923</v>
      </c>
      <c r="K24" s="12">
        <v>11.134483996808159</v>
      </c>
      <c r="L24" s="12">
        <v>10.71020836187831</v>
      </c>
      <c r="M24" s="12">
        <v>10.157799824449839</v>
      </c>
      <c r="N24" s="12">
        <v>9.4303014130009117</v>
      </c>
      <c r="O24" s="12">
        <v>8.4702898108959488</v>
      </c>
      <c r="P24" s="12">
        <v>7.2058946745555392</v>
      </c>
      <c r="Q24" s="12">
        <v>5.5392451614451002</v>
      </c>
      <c r="R24" s="12">
        <v>3.2985428044695748</v>
      </c>
      <c r="S24" s="18"/>
      <c r="T24" s="18"/>
      <c r="U24" s="18"/>
      <c r="V24" s="18"/>
      <c r="W24" s="6"/>
      <c r="Y24" s="5" t="s">
        <v>14</v>
      </c>
      <c r="Z24" s="5">
        <f>((Z22)^2+(Z23)^2)^0.5</f>
        <v>10</v>
      </c>
      <c r="AA24" s="5">
        <f t="shared" ref="AA24:AN24" si="23">((AA22)^2+(AA23)^2)^0.5</f>
        <v>10.371020872700214</v>
      </c>
      <c r="AB24" s="5">
        <f t="shared" si="23"/>
        <v>10.778011234109472</v>
      </c>
      <c r="AC24" s="5">
        <f t="shared" si="23"/>
        <v>11.25964713174346</v>
      </c>
      <c r="AD24" s="5">
        <f t="shared" si="23"/>
        <v>11.860300871422105</v>
      </c>
      <c r="AE24" s="5">
        <f t="shared" si="23"/>
        <v>12.6336873443997</v>
      </c>
      <c r="AF24" s="5">
        <f>((AF22)^2+(AF23)^2)^0.5</f>
        <v>13.647750163026124</v>
      </c>
      <c r="AG24" s="5">
        <f t="shared" si="23"/>
        <v>14.99174991581711</v>
      </c>
      <c r="AH24" s="5">
        <f t="shared" si="23"/>
        <v>16.787124565599878</v>
      </c>
      <c r="AI24" s="5">
        <f t="shared" si="23"/>
        <v>19.204594425181394</v>
      </c>
      <c r="AJ24" s="5">
        <f t="shared" si="23"/>
        <v>22.491432870480391</v>
      </c>
      <c r="AK24" s="5">
        <f t="shared" si="23"/>
        <v>27.015575068620556</v>
      </c>
      <c r="AL24" s="5">
        <f t="shared" si="23"/>
        <v>33.331513829201356</v>
      </c>
      <c r="AM24" s="5">
        <f t="shared" si="23"/>
        <v>42.146381642727256</v>
      </c>
      <c r="AN24" s="5">
        <f t="shared" si="23"/>
        <v>52.5</v>
      </c>
    </row>
    <row r="25" spans="6:40" x14ac:dyDescent="0.25">
      <c r="F25" s="3"/>
      <c r="G25" s="11">
        <f t="shared" si="17"/>
        <v>0.8</v>
      </c>
      <c r="H25" s="12">
        <v>10</v>
      </c>
      <c r="I25" s="12">
        <v>9.7641987059193092</v>
      </c>
      <c r="J25" s="12">
        <v>9.5005690556857907</v>
      </c>
      <c r="K25" s="12">
        <v>9.1792169065771017</v>
      </c>
      <c r="L25" s="12">
        <v>8.7661087917680689</v>
      </c>
      <c r="M25" s="12">
        <v>8.2210833520111439</v>
      </c>
      <c r="N25" s="12">
        <v>7.4962872752184371</v>
      </c>
      <c r="O25" s="12">
        <v>6.5358755238453057</v>
      </c>
      <c r="P25" s="12">
        <v>5.2790116384501129</v>
      </c>
      <c r="Q25" s="12">
        <v>3.6734931674184312</v>
      </c>
      <c r="R25" s="12">
        <v>1.7430089592432561</v>
      </c>
      <c r="S25" s="18"/>
      <c r="T25" s="18"/>
      <c r="U25" s="18"/>
      <c r="V25" s="18"/>
      <c r="W25" s="6"/>
      <c r="Y25" s="5" t="s">
        <v>15</v>
      </c>
      <c r="Z25" s="8">
        <f>B5</f>
        <v>101325</v>
      </c>
      <c r="AA25" s="8">
        <f>(Z25+(Z24^2)/2)-(AA24^2)/2</f>
        <v>101321.220963029</v>
      </c>
      <c r="AB25" s="8">
        <f t="shared" ref="AB25:AN25" si="24">(AA25+(AA24^2)/2)-(AB24^2)/2</f>
        <v>101316.9172369187</v>
      </c>
      <c r="AC25" s="8">
        <f t="shared" si="24"/>
        <v>101311.61017323431</v>
      </c>
      <c r="AD25" s="8">
        <f t="shared" si="24"/>
        <v>101304.66663161968</v>
      </c>
      <c r="AE25" s="8">
        <f t="shared" si="24"/>
        <v>101295.19497204198</v>
      </c>
      <c r="AF25" s="8">
        <f t="shared" si="24"/>
        <v>101281.86945774381</v>
      </c>
      <c r="AG25" s="8">
        <f t="shared" si="24"/>
        <v>101262.6237172308</v>
      </c>
      <c r="AH25" s="8">
        <f t="shared" si="24"/>
        <v>101234.09622440951</v>
      </c>
      <c r="AI25" s="8">
        <f t="shared" si="24"/>
        <v>101190.59177648215</v>
      </c>
      <c r="AJ25" s="8">
        <f t="shared" si="24"/>
        <v>101122.06772371633</v>
      </c>
      <c r="AK25" s="8">
        <f t="shared" si="24"/>
        <v>101010.07935185586</v>
      </c>
      <c r="AL25" s="8">
        <f t="shared" si="24"/>
        <v>100819.50509292688</v>
      </c>
      <c r="AM25" s="8">
        <f t="shared" si="24"/>
        <v>100486.84125721279</v>
      </c>
      <c r="AN25" s="8">
        <f t="shared" si="24"/>
        <v>99996.875</v>
      </c>
    </row>
    <row r="26" spans="6:40" x14ac:dyDescent="0.25">
      <c r="F26" s="3"/>
      <c r="G26" s="11">
        <f t="shared" si="17"/>
        <v>0.60000000000000009</v>
      </c>
      <c r="H26" s="12">
        <v>8</v>
      </c>
      <c r="I26" s="12">
        <v>7.807879197026721</v>
      </c>
      <c r="J26" s="12">
        <v>7.5893246180310738</v>
      </c>
      <c r="K26" s="12">
        <v>7.3157063594921006</v>
      </c>
      <c r="L26" s="12">
        <v>6.9539272165229695</v>
      </c>
      <c r="M26" s="12">
        <v>6.4641382534748573</v>
      </c>
      <c r="N26" s="12">
        <v>5.7978895140527946</v>
      </c>
      <c r="O26" s="12">
        <v>4.8979140115845219</v>
      </c>
      <c r="P26" s="12">
        <v>3.7007836802272083</v>
      </c>
      <c r="Q26" s="12">
        <v>2.1327072397788487</v>
      </c>
      <c r="R26" s="18"/>
      <c r="S26" s="18"/>
      <c r="T26" s="18"/>
      <c r="U26" s="18"/>
      <c r="V26" s="18"/>
      <c r="W26" s="6"/>
      <c r="Y26" s="5" t="s">
        <v>16</v>
      </c>
      <c r="Z26" s="5">
        <f>(Z25-$B$5)/(($B$4^2)/2)</f>
        <v>0</v>
      </c>
      <c r="AA26" s="5">
        <f>(AA25-$B$5)/(($B$4^2)/2)</f>
        <v>-7.5580739419965542E-2</v>
      </c>
      <c r="AB26" s="5">
        <f t="shared" ref="AB26:AN26" si="25">(AB25-$B$5)/(($B$4^2)/2)</f>
        <v>-0.16165526162600144</v>
      </c>
      <c r="AC26" s="5">
        <f t="shared" si="25"/>
        <v>-0.26779653531382791</v>
      </c>
      <c r="AD26" s="5">
        <f t="shared" si="25"/>
        <v>-0.4066673676064238</v>
      </c>
      <c r="AE26" s="5">
        <f t="shared" si="25"/>
        <v>-0.59610055916040439</v>
      </c>
      <c r="AF26" s="5">
        <f t="shared" si="25"/>
        <v>-0.86261084512370867</v>
      </c>
      <c r="AG26" s="5">
        <f t="shared" si="25"/>
        <v>-1.2475256553839427</v>
      </c>
      <c r="AH26" s="5">
        <f t="shared" si="25"/>
        <v>-1.8180755118097296</v>
      </c>
      <c r="AI26" s="5">
        <f t="shared" si="25"/>
        <v>-2.6881644703570053</v>
      </c>
      <c r="AJ26" s="5">
        <f t="shared" si="25"/>
        <v>-4.058645525673346</v>
      </c>
      <c r="AK26" s="5">
        <f t="shared" si="25"/>
        <v>-6.298412962882721</v>
      </c>
      <c r="AL26" s="5">
        <f t="shared" si="25"/>
        <v>-10.109898141462473</v>
      </c>
      <c r="AM26" s="5">
        <f t="shared" si="25"/>
        <v>-16.763174855744293</v>
      </c>
      <c r="AN26" s="5">
        <f t="shared" si="25"/>
        <v>-26.5625</v>
      </c>
    </row>
    <row r="27" spans="6:40" x14ac:dyDescent="0.25">
      <c r="F27" s="3"/>
      <c r="G27" s="11">
        <f t="shared" si="17"/>
        <v>0.4</v>
      </c>
      <c r="H27" s="12">
        <v>6</v>
      </c>
      <c r="I27" s="12">
        <v>5.8779936574230476</v>
      </c>
      <c r="J27" s="12">
        <v>5.7331442387293743</v>
      </c>
      <c r="K27" s="12">
        <v>5.540357208069004</v>
      </c>
      <c r="L27" s="12">
        <v>5.2697560841096616</v>
      </c>
      <c r="M27" s="12">
        <v>4.8836535773151102</v>
      </c>
      <c r="N27" s="12">
        <v>4.333219157115745</v>
      </c>
      <c r="O27" s="12">
        <v>3.5571078712301043</v>
      </c>
      <c r="P27" s="12">
        <v>2.4935022487729026</v>
      </c>
      <c r="Q27" s="12">
        <v>1.1565523370663178</v>
      </c>
      <c r="R27" s="18"/>
      <c r="S27" s="18"/>
      <c r="T27" s="18"/>
      <c r="U27" s="18"/>
      <c r="V27" s="18"/>
      <c r="W27" s="6"/>
    </row>
    <row r="28" spans="6:40" x14ac:dyDescent="0.25">
      <c r="F28" s="3"/>
      <c r="G28" s="11">
        <f>G29+B$2</f>
        <v>0.2</v>
      </c>
      <c r="H28" s="12">
        <v>4</v>
      </c>
      <c r="I28" s="12">
        <v>3.9709513575590067</v>
      </c>
      <c r="J28" s="12">
        <v>3.9249017754380273</v>
      </c>
      <c r="K28" s="12">
        <v>3.8428225814668941</v>
      </c>
      <c r="L28" s="12">
        <v>3.7010868315829692</v>
      </c>
      <c r="M28" s="12">
        <v>3.4675013543042938</v>
      </c>
      <c r="N28" s="12">
        <v>3.0942261677934342</v>
      </c>
      <c r="O28" s="12">
        <v>2.5037965033534495</v>
      </c>
      <c r="P28" s="12">
        <v>1.559565404540725</v>
      </c>
      <c r="Q28" s="18"/>
      <c r="R28" s="18"/>
      <c r="S28" s="18"/>
      <c r="T28" s="18"/>
      <c r="U28" s="18"/>
      <c r="V28" s="18"/>
      <c r="W28" s="6"/>
    </row>
    <row r="29" spans="6:40" x14ac:dyDescent="0.25">
      <c r="F29" s="3"/>
      <c r="G29" s="11">
        <v>0</v>
      </c>
      <c r="H29" s="12">
        <v>2</v>
      </c>
      <c r="I29" s="12">
        <v>2.0809101107289818</v>
      </c>
      <c r="J29" s="12">
        <v>2.1526891457601303</v>
      </c>
      <c r="K29" s="12">
        <v>2.2049448089529444</v>
      </c>
      <c r="L29" s="12">
        <v>2.2242676671950363</v>
      </c>
      <c r="M29" s="12">
        <v>2.1910392099458011</v>
      </c>
      <c r="N29" s="12">
        <v>2.0723880135105932</v>
      </c>
      <c r="O29" s="12">
        <v>1.8042868537955954</v>
      </c>
      <c r="P29" s="12">
        <v>1.2409630440090469</v>
      </c>
      <c r="Q29" s="18"/>
      <c r="R29" s="18"/>
      <c r="S29" s="18"/>
      <c r="T29" s="18"/>
      <c r="U29" s="18"/>
      <c r="V29" s="18"/>
      <c r="W29" s="6"/>
    </row>
    <row r="30" spans="6:40" x14ac:dyDescent="0.25">
      <c r="F30" s="3"/>
      <c r="G30" s="10"/>
      <c r="H30" s="11">
        <v>0</v>
      </c>
      <c r="I30" s="11">
        <f>H30+$B$2</f>
        <v>0.2</v>
      </c>
      <c r="J30" s="11">
        <f t="shared" ref="J30:V30" si="26">I30+$B$2</f>
        <v>0.4</v>
      </c>
      <c r="K30" s="11">
        <f t="shared" si="26"/>
        <v>0.60000000000000009</v>
      </c>
      <c r="L30" s="11">
        <f t="shared" si="26"/>
        <v>0.8</v>
      </c>
      <c r="M30" s="11">
        <f t="shared" si="26"/>
        <v>1</v>
      </c>
      <c r="N30" s="11">
        <f t="shared" si="26"/>
        <v>1.2</v>
      </c>
      <c r="O30" s="11">
        <f t="shared" si="26"/>
        <v>1.4</v>
      </c>
      <c r="P30" s="11">
        <f t="shared" si="26"/>
        <v>1.5999999999999999</v>
      </c>
      <c r="Q30" s="11">
        <f t="shared" si="26"/>
        <v>1.7999999999999998</v>
      </c>
      <c r="R30" s="11">
        <f t="shared" si="26"/>
        <v>1.9999999999999998</v>
      </c>
      <c r="S30" s="11">
        <f t="shared" si="26"/>
        <v>2.1999999999999997</v>
      </c>
      <c r="T30" s="11">
        <f t="shared" si="26"/>
        <v>2.4</v>
      </c>
      <c r="U30" s="11">
        <f t="shared" si="26"/>
        <v>2.6</v>
      </c>
      <c r="V30" s="11">
        <f t="shared" si="26"/>
        <v>2.8000000000000003</v>
      </c>
      <c r="W30" s="6"/>
    </row>
    <row r="31" spans="6:40" x14ac:dyDescent="0.25">
      <c r="F31" s="3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7"/>
    </row>
    <row r="32" spans="6:40" x14ac:dyDescent="0.25">
      <c r="F32" s="3"/>
      <c r="G32" s="10"/>
      <c r="H32" s="17">
        <v>1</v>
      </c>
      <c r="I32" s="17">
        <v>2</v>
      </c>
      <c r="J32" s="17">
        <v>3</v>
      </c>
      <c r="K32" s="17">
        <v>4</v>
      </c>
      <c r="L32" s="17">
        <v>5</v>
      </c>
      <c r="M32" s="17">
        <v>6</v>
      </c>
      <c r="N32" s="17">
        <v>7</v>
      </c>
      <c r="O32" s="17">
        <v>8</v>
      </c>
      <c r="P32" s="17">
        <v>9</v>
      </c>
      <c r="Q32" s="17">
        <v>10</v>
      </c>
      <c r="R32" s="17">
        <v>11</v>
      </c>
      <c r="S32" s="17">
        <v>12</v>
      </c>
      <c r="T32" s="17">
        <v>13</v>
      </c>
      <c r="U32" s="17">
        <v>14</v>
      </c>
      <c r="V32" s="17">
        <v>15</v>
      </c>
      <c r="W32" s="6"/>
    </row>
    <row r="33" spans="6:23" x14ac:dyDescent="0.25">
      <c r="F33" s="3" t="s">
        <v>10</v>
      </c>
      <c r="G33" s="11">
        <f t="shared" ref="G33:G41" si="27">G34+B$2</f>
        <v>1.9999999999999998</v>
      </c>
      <c r="H33" s="18">
        <f>(H5-H6)/$B$2</f>
        <v>10</v>
      </c>
      <c r="I33" s="18">
        <f t="shared" ref="I33:V33" si="28">(I5-I6)/$B$2</f>
        <v>10.389725675901609</v>
      </c>
      <c r="J33" s="18">
        <f t="shared" si="28"/>
        <v>10.816860652584612</v>
      </c>
      <c r="K33" s="18">
        <f t="shared" si="28"/>
        <v>11.321693895203673</v>
      </c>
      <c r="L33" s="18">
        <f t="shared" si="28"/>
        <v>11.950619845803736</v>
      </c>
      <c r="M33" s="18">
        <f t="shared" si="28"/>
        <v>12.760182784703513</v>
      </c>
      <c r="N33" s="18">
        <f t="shared" si="28"/>
        <v>13.822735528634382</v>
      </c>
      <c r="O33" s="18">
        <f t="shared" si="28"/>
        <v>15.235257947734411</v>
      </c>
      <c r="P33" s="18">
        <f t="shared" si="28"/>
        <v>17.134795414741042</v>
      </c>
      <c r="Q33" s="18">
        <f t="shared" si="28"/>
        <v>19.729673718862077</v>
      </c>
      <c r="R33" s="18">
        <f t="shared" si="28"/>
        <v>23.374709901966106</v>
      </c>
      <c r="S33" s="18">
        <f t="shared" si="28"/>
        <v>28.786299646819185</v>
      </c>
      <c r="T33" s="18">
        <f t="shared" si="28"/>
        <v>37.739338218133142</v>
      </c>
      <c r="U33" s="18">
        <f t="shared" si="28"/>
        <v>55.508025393555357</v>
      </c>
      <c r="V33" s="19">
        <f t="shared" si="28"/>
        <v>100</v>
      </c>
      <c r="W33" s="6"/>
    </row>
    <row r="34" spans="6:23" x14ac:dyDescent="0.25">
      <c r="F34" s="3"/>
      <c r="G34" s="11">
        <f t="shared" si="27"/>
        <v>1.7999999999999998</v>
      </c>
      <c r="H34" s="18">
        <f>(H5-H7)/(2*$B$2)</f>
        <v>10</v>
      </c>
      <c r="I34" s="19">
        <f>(I5-I7)/(2*$B$2)</f>
        <v>10.371020872700214</v>
      </c>
      <c r="J34" s="19">
        <f t="shared" ref="J34:U34" si="29">(J5-J7)/(2*$B$2)</f>
        <v>10.778011234109472</v>
      </c>
      <c r="K34" s="19">
        <f t="shared" si="29"/>
        <v>11.25964713174346</v>
      </c>
      <c r="L34" s="19">
        <f t="shared" si="29"/>
        <v>11.860300871422105</v>
      </c>
      <c r="M34" s="19">
        <f>(M5-M7)/(2*$B$2)</f>
        <v>12.6336873443997</v>
      </c>
      <c r="N34" s="19">
        <f t="shared" si="29"/>
        <v>13.647750163026124</v>
      </c>
      <c r="O34" s="19">
        <f t="shared" si="29"/>
        <v>14.99174991581711</v>
      </c>
      <c r="P34" s="19">
        <f t="shared" si="29"/>
        <v>16.787124565599878</v>
      </c>
      <c r="Q34" s="19">
        <f t="shared" si="29"/>
        <v>19.204594425181394</v>
      </c>
      <c r="R34" s="19">
        <f t="shared" si="29"/>
        <v>22.491432870480391</v>
      </c>
      <c r="S34" s="19">
        <f t="shared" si="29"/>
        <v>27.015575068620556</v>
      </c>
      <c r="T34" s="19">
        <f t="shared" si="29"/>
        <v>33.331513829201356</v>
      </c>
      <c r="U34" s="19">
        <f t="shared" si="29"/>
        <v>42.146381642727256</v>
      </c>
      <c r="V34" s="19">
        <f>(V5-V7)/(2*$B$2)</f>
        <v>52.5</v>
      </c>
      <c r="W34" s="6"/>
    </row>
    <row r="35" spans="6:23" x14ac:dyDescent="0.25">
      <c r="F35" s="3"/>
      <c r="G35" s="11">
        <f t="shared" si="27"/>
        <v>1.5999999999999999</v>
      </c>
      <c r="H35" s="18">
        <f>(H6-H8)/(2*$B$2)</f>
        <v>10</v>
      </c>
      <c r="I35" s="19">
        <f t="shared" ref="I35:V35" si="30">(I6-I8)/(2*$B$2)</f>
        <v>10.316346295985426</v>
      </c>
      <c r="J35" s="19">
        <f t="shared" si="30"/>
        <v>10.664515718871135</v>
      </c>
      <c r="K35" s="19">
        <f t="shared" si="30"/>
        <v>11.078581763777704</v>
      </c>
      <c r="L35" s="19">
        <f t="shared" si="30"/>
        <v>11.597248222383296</v>
      </c>
      <c r="M35" s="19">
        <f>(M6-M8)/(2*$B$2)</f>
        <v>12.266514559599528</v>
      </c>
      <c r="N35" s="19">
        <f>(N6-N8)/(2*$B$2)</f>
        <v>13.14282683243734</v>
      </c>
      <c r="O35" s="19">
        <f t="shared" si="30"/>
        <v>14.296866049721002</v>
      </c>
      <c r="P35" s="19">
        <f t="shared" si="30"/>
        <v>15.817357675448029</v>
      </c>
      <c r="Q35" s="19">
        <f t="shared" si="30"/>
        <v>17.810145905093258</v>
      </c>
      <c r="R35" s="19">
        <f t="shared" si="30"/>
        <v>20.370851619727993</v>
      </c>
      <c r="S35" s="19">
        <f t="shared" si="30"/>
        <v>23.453053649785005</v>
      </c>
      <c r="T35" s="19">
        <f t="shared" si="30"/>
        <v>26.424760245944245</v>
      </c>
      <c r="U35" s="19">
        <f t="shared" si="30"/>
        <v>27.245987303222318</v>
      </c>
      <c r="V35" s="19">
        <f t="shared" si="30"/>
        <v>5</v>
      </c>
      <c r="W35" s="6"/>
    </row>
    <row r="36" spans="6:23" x14ac:dyDescent="0.25">
      <c r="F36" s="3"/>
      <c r="G36" s="11">
        <f t="shared" si="27"/>
        <v>1.4</v>
      </c>
      <c r="H36" s="18">
        <f>(H7-H9)/(2*$B$2)</f>
        <v>10</v>
      </c>
      <c r="I36" s="19">
        <f t="shared" ref="I36:V36" si="31">(I7-I9)/(2*$B$2)</f>
        <v>10.229848338475067</v>
      </c>
      <c r="J36" s="19">
        <f t="shared" si="31"/>
        <v>10.485123107881211</v>
      </c>
      <c r="K36" s="19">
        <f t="shared" si="31"/>
        <v>10.792915304405438</v>
      </c>
      <c r="L36" s="19">
        <f t="shared" si="31"/>
        <v>11.183594903221769</v>
      </c>
      <c r="M36" s="19">
        <f t="shared" si="31"/>
        <v>11.69229495874279</v>
      </c>
      <c r="N36" s="19">
        <f>(N7-N9)/(2*$B$2)</f>
        <v>12.360175702331517</v>
      </c>
      <c r="O36" s="19">
        <f>(O7-O9)/(2*$B$2)</f>
        <v>13.235528967445216</v>
      </c>
      <c r="P36" s="19">
        <f t="shared" si="31"/>
        <v>14.375293518220355</v>
      </c>
      <c r="Q36" s="19">
        <f t="shared" si="31"/>
        <v>15.847779386378731</v>
      </c>
      <c r="R36" s="19">
        <f t="shared" si="31"/>
        <v>17.728773732894741</v>
      </c>
      <c r="S36" s="19">
        <f t="shared" si="31"/>
        <v>20.001027508521918</v>
      </c>
      <c r="T36" s="19">
        <f t="shared" si="31"/>
        <v>21.668486170798644</v>
      </c>
      <c r="U36" s="19">
        <f t="shared" si="31"/>
        <v>12.853618357272735</v>
      </c>
      <c r="V36" s="19">
        <f t="shared" si="31"/>
        <v>2.5</v>
      </c>
      <c r="W36" s="6"/>
    </row>
    <row r="37" spans="6:23" x14ac:dyDescent="0.25">
      <c r="F37" s="3"/>
      <c r="G37" s="11">
        <f t="shared" si="27"/>
        <v>1.2</v>
      </c>
      <c r="H37" s="18">
        <f>(H8-H10)/(2*$B$2)</f>
        <v>10</v>
      </c>
      <c r="I37" s="19">
        <f t="shared" ref="I37:V37" si="32">(I8-I10)/(2*$B$2)</f>
        <v>10.117923760994989</v>
      </c>
      <c r="J37" s="19">
        <f t="shared" si="32"/>
        <v>10.253212698865063</v>
      </c>
      <c r="K37" s="19">
        <f t="shared" si="32"/>
        <v>10.424360941143131</v>
      </c>
      <c r="L37" s="21">
        <f t="shared" si="32"/>
        <v>10.651920514062553</v>
      </c>
      <c r="M37" s="19">
        <f t="shared" si="32"/>
        <v>10.958894029339191</v>
      </c>
      <c r="N37" s="19">
        <f>(N8-N10)/(2*$B$2)</f>
        <v>11.370051406934225</v>
      </c>
      <c r="O37" s="19">
        <f t="shared" ref="O37:T37" si="33">(O8-O10)/(2*$B$2)</f>
        <v>11.909780040335839</v>
      </c>
      <c r="P37" s="19">
        <f t="shared" si="33"/>
        <v>12.600507588182712</v>
      </c>
      <c r="Q37" s="19">
        <f t="shared" si="33"/>
        <v>13.476904096846182</v>
      </c>
      <c r="R37" s="19">
        <f t="shared" si="33"/>
        <v>14.69543629227816</v>
      </c>
      <c r="S37" s="19">
        <f t="shared" si="33"/>
        <v>17.153796526805404</v>
      </c>
      <c r="T37" s="19">
        <f t="shared" si="33"/>
        <v>9.7055706449891801</v>
      </c>
      <c r="U37" s="19">
        <f t="shared" si="32"/>
        <v>0</v>
      </c>
      <c r="V37" s="19">
        <f t="shared" si="32"/>
        <v>0</v>
      </c>
      <c r="W37" s="6"/>
    </row>
    <row r="38" spans="6:23" x14ac:dyDescent="0.25">
      <c r="F38" s="3"/>
      <c r="G38" s="11">
        <f t="shared" si="27"/>
        <v>1</v>
      </c>
      <c r="H38" s="18">
        <f t="shared" ref="H38:M38" si="34">(H9-H10)/($B$2)</f>
        <v>10</v>
      </c>
      <c r="I38" s="18">
        <f t="shared" si="34"/>
        <v>10.056527367511876</v>
      </c>
      <c r="J38" s="18">
        <f t="shared" si="34"/>
        <v>10.126048804075642</v>
      </c>
      <c r="K38" s="18">
        <f t="shared" si="34"/>
        <v>10.222454432747545</v>
      </c>
      <c r="L38" s="18">
        <f t="shared" si="34"/>
        <v>10.361165769407688</v>
      </c>
      <c r="M38" s="19">
        <f t="shared" si="34"/>
        <v>10.559035356295974</v>
      </c>
      <c r="N38" s="19">
        <f>(N9-N11)/(2*$B$2)</f>
        <v>10.25135550782351</v>
      </c>
      <c r="O38" s="19">
        <f t="shared" ref="O38:T38" si="35">(O9-O11)/(2*$B$2)</f>
        <v>10.433031906644539</v>
      </c>
      <c r="P38" s="19">
        <f t="shared" si="35"/>
        <v>10.640052512400709</v>
      </c>
      <c r="Q38" s="19">
        <f t="shared" si="35"/>
        <v>10.76389306411655</v>
      </c>
      <c r="R38" s="19">
        <f t="shared" si="35"/>
        <v>10.422270914194861</v>
      </c>
      <c r="S38" s="19">
        <f t="shared" si="35"/>
        <v>7.9833974228575251</v>
      </c>
      <c r="T38" s="19">
        <f t="shared" si="35"/>
        <v>0</v>
      </c>
      <c r="U38" s="19">
        <f t="shared" ref="U38:V42" si="36">(U9-U11)/(2*$B$2)</f>
        <v>0</v>
      </c>
      <c r="V38" s="19">
        <f t="shared" si="36"/>
        <v>0</v>
      </c>
      <c r="W38" s="6"/>
    </row>
    <row r="39" spans="6:23" x14ac:dyDescent="0.25">
      <c r="F39" s="3"/>
      <c r="G39" s="11">
        <f t="shared" si="27"/>
        <v>0.8</v>
      </c>
      <c r="H39" s="18">
        <f t="shared" ref="H39:I43" si="37">(H10-H11)/($B$2)</f>
        <v>10</v>
      </c>
      <c r="I39" s="18">
        <f t="shared" si="37"/>
        <v>9.9207404085032636</v>
      </c>
      <c r="J39" s="18">
        <f t="shared" ref="J39:L43" si="38">(J10-J11)/($B$2)</f>
        <v>9.8448367269762294</v>
      </c>
      <c r="K39" s="18">
        <f t="shared" si="38"/>
        <v>9.7763354402620095</v>
      </c>
      <c r="L39" s="18">
        <f t="shared" si="38"/>
        <v>9.7204978850676582</v>
      </c>
      <c r="M39" s="19">
        <f t="shared" ref="M39:T39" si="39">(M10-M12)/(2*$B$2)</f>
        <v>9.2341539812707598</v>
      </c>
      <c r="N39" s="19">
        <f t="shared" si="39"/>
        <v>9.0810298104402687</v>
      </c>
      <c r="O39" s="19">
        <f t="shared" si="39"/>
        <v>8.930939567728819</v>
      </c>
      <c r="P39" s="19">
        <f t="shared" si="39"/>
        <v>8.7627775673822459</v>
      </c>
      <c r="Q39" s="19">
        <f t="shared" si="39"/>
        <v>8.5163448981845455</v>
      </c>
      <c r="R39" s="19">
        <f t="shared" si="39"/>
        <v>8.24635713701079</v>
      </c>
      <c r="S39" s="19">
        <f t="shared" si="39"/>
        <v>0</v>
      </c>
      <c r="T39" s="19">
        <f t="shared" si="39"/>
        <v>0</v>
      </c>
      <c r="U39" s="19">
        <f t="shared" si="36"/>
        <v>0</v>
      </c>
      <c r="V39" s="19">
        <f t="shared" si="36"/>
        <v>0</v>
      </c>
      <c r="W39" s="6"/>
    </row>
    <row r="40" spans="6:23" x14ac:dyDescent="0.25">
      <c r="F40" s="3"/>
      <c r="G40" s="11">
        <f t="shared" si="27"/>
        <v>0.60000000000000009</v>
      </c>
      <c r="H40" s="18">
        <f t="shared" si="37"/>
        <v>10</v>
      </c>
      <c r="I40" s="18">
        <f t="shared" si="37"/>
        <v>9.7815975749175088</v>
      </c>
      <c r="J40" s="18">
        <f t="shared" si="38"/>
        <v>9.5562222212992776</v>
      </c>
      <c r="K40" s="18">
        <f t="shared" si="38"/>
        <v>9.3175528181924605</v>
      </c>
      <c r="L40" s="18">
        <f t="shared" si="38"/>
        <v>9.060907935181044</v>
      </c>
      <c r="M40" s="18">
        <f>(M11-M13)/(2*$B$2)</f>
        <v>8.3435745599416506</v>
      </c>
      <c r="N40" s="19">
        <f t="shared" ref="N40:T40" si="40">(N11-N13)/(2*$B$2)</f>
        <v>7.9076704203241954</v>
      </c>
      <c r="O40" s="19">
        <f t="shared" si="40"/>
        <v>7.4469192595764984</v>
      </c>
      <c r="P40" s="19">
        <f t="shared" si="40"/>
        <v>6.9637735956138309</v>
      </c>
      <c r="Q40" s="19">
        <f t="shared" si="40"/>
        <v>6.2923521939784788</v>
      </c>
      <c r="R40" s="19">
        <f t="shared" si="40"/>
        <v>4.3575224824300038</v>
      </c>
      <c r="S40" s="19">
        <f t="shared" si="40"/>
        <v>0</v>
      </c>
      <c r="T40" s="19">
        <f t="shared" si="40"/>
        <v>0</v>
      </c>
      <c r="U40" s="19">
        <f t="shared" si="36"/>
        <v>0</v>
      </c>
      <c r="V40" s="19">
        <f t="shared" si="36"/>
        <v>0</v>
      </c>
      <c r="W40" s="6"/>
    </row>
    <row r="41" spans="6:23" x14ac:dyDescent="0.25">
      <c r="F41" s="3"/>
      <c r="G41" s="11">
        <f t="shared" si="27"/>
        <v>0.4</v>
      </c>
      <c r="H41" s="18">
        <f t="shared" si="37"/>
        <v>10</v>
      </c>
      <c r="I41" s="18">
        <f t="shared" si="37"/>
        <v>9.6494277350729121</v>
      </c>
      <c r="J41" s="18">
        <f t="shared" si="38"/>
        <v>9.2809019899660417</v>
      </c>
      <c r="K41" s="18">
        <f t="shared" si="38"/>
        <v>8.8767458567526472</v>
      </c>
      <c r="L41" s="18">
        <f t="shared" si="38"/>
        <v>8.4208558191932958</v>
      </c>
      <c r="M41" s="18">
        <f>(M12-M14)/(2*$B$2)</f>
        <v>7.4915924207904405</v>
      </c>
      <c r="N41" s="19">
        <f t="shared" ref="N41:T41" si="41">(N12-N14)/(2*$B$2)</f>
        <v>6.7591585431934238</v>
      </c>
      <c r="O41" s="19">
        <f t="shared" si="41"/>
        <v>5.9852939324972221</v>
      </c>
      <c r="P41" s="19">
        <f t="shared" si="41"/>
        <v>5.3530458390318669</v>
      </c>
      <c r="Q41" s="19">
        <f t="shared" si="41"/>
        <v>5.3317682404449736</v>
      </c>
      <c r="R41" s="19">
        <f t="shared" si="41"/>
        <v>0</v>
      </c>
      <c r="S41" s="19">
        <f t="shared" si="41"/>
        <v>0</v>
      </c>
      <c r="T41" s="19">
        <f t="shared" si="41"/>
        <v>0</v>
      </c>
      <c r="U41" s="19">
        <f t="shared" si="36"/>
        <v>0</v>
      </c>
      <c r="V41" s="19">
        <f t="shared" si="36"/>
        <v>0</v>
      </c>
      <c r="W41" s="6"/>
    </row>
    <row r="42" spans="6:23" x14ac:dyDescent="0.25">
      <c r="F42" s="3"/>
      <c r="G42" s="11">
        <f>G43+B$2</f>
        <v>0.2</v>
      </c>
      <c r="H42" s="18">
        <f t="shared" si="37"/>
        <v>10</v>
      </c>
      <c r="I42" s="18">
        <f t="shared" si="37"/>
        <v>9.5352115621563041</v>
      </c>
      <c r="J42" s="18">
        <f t="shared" si="38"/>
        <v>9.0412124193071843</v>
      </c>
      <c r="K42" s="18">
        <f t="shared" si="38"/>
        <v>8.4876732996938564</v>
      </c>
      <c r="L42" s="18">
        <f t="shared" si="38"/>
        <v>7.8433464330177083</v>
      </c>
      <c r="M42" s="18">
        <f>(M13-M15)/(2*$B$2)</f>
        <v>6.7315361337466468</v>
      </c>
      <c r="N42" s="19">
        <f>(N13-N15)/(2*$B$2)</f>
        <v>5.6520780617853834</v>
      </c>
      <c r="O42" s="19">
        <f t="shared" ref="O42:T42" si="42">(O13-O15)/(2*$B$2)</f>
        <v>4.382052724970956</v>
      </c>
      <c r="P42" s="19">
        <f t="shared" si="42"/>
        <v>3.1313481467050219</v>
      </c>
      <c r="Q42" s="19">
        <f t="shared" si="42"/>
        <v>2.8913809303448446</v>
      </c>
      <c r="R42" s="19">
        <f t="shared" si="42"/>
        <v>0</v>
      </c>
      <c r="S42" s="19">
        <f t="shared" si="42"/>
        <v>0</v>
      </c>
      <c r="T42" s="19">
        <f t="shared" si="42"/>
        <v>0</v>
      </c>
      <c r="U42" s="19">
        <f t="shared" si="36"/>
        <v>0</v>
      </c>
      <c r="V42" s="19">
        <f t="shared" si="36"/>
        <v>0</v>
      </c>
      <c r="W42" s="6"/>
    </row>
    <row r="43" spans="6:23" x14ac:dyDescent="0.25">
      <c r="F43" s="3"/>
      <c r="G43" s="11">
        <v>0</v>
      </c>
      <c r="H43" s="18">
        <f t="shared" si="37"/>
        <v>10</v>
      </c>
      <c r="I43" s="18">
        <f t="shared" si="37"/>
        <v>9.4502063003386496</v>
      </c>
      <c r="J43" s="18">
        <f t="shared" si="38"/>
        <v>8.8610632854943141</v>
      </c>
      <c r="K43" s="18">
        <f t="shared" si="38"/>
        <v>8.1893890370261069</v>
      </c>
      <c r="L43" s="18">
        <f t="shared" si="38"/>
        <v>7.3840960457427141</v>
      </c>
      <c r="M43" s="18">
        <f>(M14-M16)/(2*$B$2)</f>
        <v>6.1687536166483214</v>
      </c>
      <c r="N43" s="19">
        <f t="shared" ref="N43:V43" si="43">(N14-N15)/($B$2)</f>
        <v>5.1091909959365633</v>
      </c>
      <c r="O43" s="19">
        <f t="shared" si="43"/>
        <v>3.4975484206084606</v>
      </c>
      <c r="P43" s="19">
        <f t="shared" si="43"/>
        <v>1.5930119222488481</v>
      </c>
      <c r="Q43" s="19">
        <f t="shared" si="43"/>
        <v>0</v>
      </c>
      <c r="R43" s="18">
        <f t="shared" si="43"/>
        <v>0</v>
      </c>
      <c r="S43" s="18">
        <f t="shared" si="43"/>
        <v>0</v>
      </c>
      <c r="T43" s="18">
        <f t="shared" si="43"/>
        <v>0</v>
      </c>
      <c r="U43" s="18">
        <f t="shared" si="43"/>
        <v>0</v>
      </c>
      <c r="V43" s="19">
        <f t="shared" si="43"/>
        <v>0</v>
      </c>
      <c r="W43" s="6"/>
    </row>
    <row r="44" spans="6:23" x14ac:dyDescent="0.25">
      <c r="F44" s="3"/>
      <c r="G44" s="10"/>
      <c r="H44" s="19">
        <v>0</v>
      </c>
      <c r="I44" s="19">
        <f>H44+$B$2</f>
        <v>0.2</v>
      </c>
      <c r="J44" s="19">
        <f t="shared" ref="J44:V44" si="44">I44+$B$2</f>
        <v>0.4</v>
      </c>
      <c r="K44" s="19">
        <f t="shared" si="44"/>
        <v>0.60000000000000009</v>
      </c>
      <c r="L44" s="19">
        <f t="shared" si="44"/>
        <v>0.8</v>
      </c>
      <c r="M44" s="19">
        <f t="shared" si="44"/>
        <v>1</v>
      </c>
      <c r="N44" s="19">
        <f t="shared" si="44"/>
        <v>1.2</v>
      </c>
      <c r="O44" s="19">
        <f t="shared" si="44"/>
        <v>1.4</v>
      </c>
      <c r="P44" s="19">
        <f t="shared" si="44"/>
        <v>1.5999999999999999</v>
      </c>
      <c r="Q44" s="19">
        <f t="shared" si="44"/>
        <v>1.7999999999999998</v>
      </c>
      <c r="R44" s="19">
        <f t="shared" si="44"/>
        <v>1.9999999999999998</v>
      </c>
      <c r="S44" s="19">
        <f t="shared" si="44"/>
        <v>2.1999999999999997</v>
      </c>
      <c r="T44" s="19">
        <f t="shared" si="44"/>
        <v>2.4</v>
      </c>
      <c r="U44" s="19">
        <f t="shared" si="44"/>
        <v>2.6</v>
      </c>
      <c r="V44" s="19">
        <f t="shared" si="44"/>
        <v>2.8000000000000003</v>
      </c>
      <c r="W44" s="6"/>
    </row>
    <row r="45" spans="6:23" x14ac:dyDescent="0.25">
      <c r="F45" s="3"/>
      <c r="G45" s="24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</row>
    <row r="46" spans="6:23" x14ac:dyDescent="0.25">
      <c r="F46" s="3" t="s">
        <v>11</v>
      </c>
      <c r="G46" s="10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 x14ac:dyDescent="0.25">
      <c r="F47" s="3"/>
      <c r="G47" s="11">
        <f t="shared" ref="G47:G55" si="45">G48+B$2</f>
        <v>1.9999999999999998</v>
      </c>
      <c r="H47" s="18">
        <f>(H5-I5)/$B$2</f>
        <v>0</v>
      </c>
      <c r="I47" s="18">
        <f>(I5-K5)/$B$2</f>
        <v>0</v>
      </c>
      <c r="J47" s="18">
        <f t="shared" ref="J47:T47" si="46">(J5-L5)/$B$2</f>
        <v>0</v>
      </c>
      <c r="K47" s="18">
        <f t="shared" si="46"/>
        <v>0</v>
      </c>
      <c r="L47" s="18">
        <f t="shared" si="46"/>
        <v>0</v>
      </c>
      <c r="M47" s="18">
        <f t="shared" si="46"/>
        <v>0</v>
      </c>
      <c r="N47" s="18">
        <f t="shared" si="46"/>
        <v>0</v>
      </c>
      <c r="O47" s="18">
        <f t="shared" si="46"/>
        <v>0</v>
      </c>
      <c r="P47" s="18">
        <f t="shared" si="46"/>
        <v>0</v>
      </c>
      <c r="Q47" s="18">
        <f t="shared" si="46"/>
        <v>0</v>
      </c>
      <c r="R47" s="18">
        <f t="shared" si="46"/>
        <v>0</v>
      </c>
      <c r="S47" s="18">
        <f t="shared" si="46"/>
        <v>0</v>
      </c>
      <c r="T47" s="18">
        <f t="shared" si="46"/>
        <v>0</v>
      </c>
      <c r="U47" s="18">
        <f>(U5-V5)/$B$2</f>
        <v>0</v>
      </c>
      <c r="V47" s="18">
        <f>(V5-U5)/$B$2</f>
        <v>0</v>
      </c>
    </row>
    <row r="48" spans="6:23" x14ac:dyDescent="0.25">
      <c r="F48" s="3"/>
      <c r="G48" s="11">
        <f t="shared" si="45"/>
        <v>1.7999999999999998</v>
      </c>
      <c r="H48" s="18">
        <f t="shared" ref="H48:I57" si="47">(H6-I6)/$B$2</f>
        <v>0.38972567590160878</v>
      </c>
      <c r="I48" s="19">
        <f>(H6-J6)/(2*$B$2)</f>
        <v>0.40843032629230613</v>
      </c>
      <c r="J48" s="19">
        <f t="shared" ref="J48:U48" si="48">(I6-K6)/(2*$B$2)</f>
        <v>0.46598410965103199</v>
      </c>
      <c r="K48" s="19">
        <f t="shared" si="48"/>
        <v>0.56687959660956189</v>
      </c>
      <c r="L48" s="19">
        <f t="shared" si="48"/>
        <v>0.71924444474992022</v>
      </c>
      <c r="M48" s="19">
        <f t="shared" si="48"/>
        <v>0.93605784141532311</v>
      </c>
      <c r="N48" s="19">
        <f t="shared" si="48"/>
        <v>1.2375375815154488</v>
      </c>
      <c r="O48" s="19">
        <f t="shared" si="48"/>
        <v>1.6560299430533298</v>
      </c>
      <c r="P48" s="19">
        <f t="shared" si="48"/>
        <v>2.2472078855638333</v>
      </c>
      <c r="Q48" s="19">
        <f t="shared" si="48"/>
        <v>3.1199572436125322</v>
      </c>
      <c r="R48" s="19">
        <f t="shared" si="48"/>
        <v>4.5283129639785535</v>
      </c>
      <c r="S48" s="19">
        <f t="shared" si="48"/>
        <v>7.1823141580835204</v>
      </c>
      <c r="T48" s="19">
        <f t="shared" si="48"/>
        <v>13.360862873368088</v>
      </c>
      <c r="U48" s="19">
        <f t="shared" si="48"/>
        <v>31.130330890933426</v>
      </c>
      <c r="V48" s="19">
        <f>(U6-V6)/($B$2)</f>
        <v>44.491974606444636</v>
      </c>
    </row>
    <row r="49" spans="6:22" x14ac:dyDescent="0.25">
      <c r="F49" s="3"/>
      <c r="G49" s="11">
        <f t="shared" si="45"/>
        <v>1.5999999999999999</v>
      </c>
      <c r="H49" s="18">
        <f t="shared" si="47"/>
        <v>0.742041745400428</v>
      </c>
      <c r="I49" s="19">
        <f t="shared" ref="I49:U49" si="49">(H7-J7)/(2*$B$2)</f>
        <v>0.77801123410947248</v>
      </c>
      <c r="J49" s="19">
        <f t="shared" si="49"/>
        <v>0.88862625904324588</v>
      </c>
      <c r="K49" s="19">
        <f t="shared" si="49"/>
        <v>1.0822896373126323</v>
      </c>
      <c r="L49" s="19">
        <f t="shared" si="49"/>
        <v>1.3740402126562401</v>
      </c>
      <c r="M49" s="19">
        <f t="shared" si="49"/>
        <v>1.7874492916040197</v>
      </c>
      <c r="N49" s="19">
        <f t="shared" si="49"/>
        <v>2.3580625714174097</v>
      </c>
      <c r="O49" s="19">
        <f t="shared" si="49"/>
        <v>3.1393744025737558</v>
      </c>
      <c r="P49" s="19">
        <f t="shared" si="49"/>
        <v>4.2128445093642863</v>
      </c>
      <c r="Q49" s="19">
        <f t="shared" si="49"/>
        <v>5.7043083048805121</v>
      </c>
      <c r="R49" s="19">
        <f t="shared" si="49"/>
        <v>7.8109806434391604</v>
      </c>
      <c r="S49" s="19">
        <f t="shared" si="49"/>
        <v>10.840080958720963</v>
      </c>
      <c r="T49" s="19">
        <f t="shared" si="49"/>
        <v>15.130806574106707</v>
      </c>
      <c r="U49" s="19">
        <f t="shared" si="49"/>
        <v>19.168486170798644</v>
      </c>
      <c r="V49" s="19">
        <f t="shared" ref="V49:V57" si="50">(U7-V7)/($B$2)</f>
        <v>20.70723671454547</v>
      </c>
    </row>
    <row r="50" spans="6:22" x14ac:dyDescent="0.25">
      <c r="F50" s="3"/>
      <c r="G50" s="11">
        <f t="shared" si="45"/>
        <v>1.4</v>
      </c>
      <c r="H50" s="18">
        <f t="shared" si="47"/>
        <v>1.0224182678724603</v>
      </c>
      <c r="I50" s="19">
        <f t="shared" ref="I50:U51" si="51">(H8-J8)/(2*$B$2)</f>
        <v>1.0729460451634409</v>
      </c>
      <c r="J50" s="19">
        <f t="shared" si="51"/>
        <v>1.2282195774433102</v>
      </c>
      <c r="K50" s="19">
        <f t="shared" si="51"/>
        <v>1.4996121001217233</v>
      </c>
      <c r="L50" s="19">
        <f t="shared" si="51"/>
        <v>1.9071772405717446</v>
      </c>
      <c r="M50" s="19">
        <f t="shared" si="51"/>
        <v>2.4816364514693667</v>
      </c>
      <c r="N50" s="19">
        <f t="shared" si="51"/>
        <v>3.2678890716369224</v>
      </c>
      <c r="O50" s="19">
        <f t="shared" si="51"/>
        <v>4.3305607860640194</v>
      </c>
      <c r="P50" s="19">
        <f t="shared" si="51"/>
        <v>5.7604877409360888</v>
      </c>
      <c r="Q50" s="19">
        <f t="shared" si="51"/>
        <v>7.6734511878924971</v>
      </c>
      <c r="R50" s="19">
        <f t="shared" si="51"/>
        <v>10.171220708670297</v>
      </c>
      <c r="S50" s="19">
        <f t="shared" si="51"/>
        <v>13.236222784299772</v>
      </c>
      <c r="T50" s="19">
        <f t="shared" si="51"/>
        <v>17.153796526805404</v>
      </c>
      <c r="U50" s="19">
        <f t="shared" si="51"/>
        <v>9.7055706449891801</v>
      </c>
      <c r="V50" s="19">
        <f t="shared" si="50"/>
        <v>0</v>
      </c>
    </row>
    <row r="51" spans="6:22" x14ac:dyDescent="0.25">
      <c r="F51" s="3"/>
      <c r="G51" s="11">
        <f t="shared" si="45"/>
        <v>1.2</v>
      </c>
      <c r="H51" s="18">
        <f t="shared" si="47"/>
        <v>1.2017384223505623</v>
      </c>
      <c r="I51" s="19">
        <f t="shared" ref="I51:N51" si="52">(H9-J9)/(2*$B$2)</f>
        <v>1.2631343419906838</v>
      </c>
      <c r="J51" s="19">
        <f t="shared" si="52"/>
        <v>1.4516932249736181</v>
      </c>
      <c r="K51" s="19">
        <f t="shared" si="52"/>
        <v>1.7807614326531906</v>
      </c>
      <c r="L51" s="19">
        <f t="shared" si="52"/>
        <v>2.2734198669935912</v>
      </c>
      <c r="M51" s="19">
        <f t="shared" si="52"/>
        <v>2.9640300907137673</v>
      </c>
      <c r="N51" s="19">
        <f t="shared" si="52"/>
        <v>3.9012965801198352</v>
      </c>
      <c r="O51" s="19">
        <f t="shared" si="51"/>
        <v>5.1544922184625941</v>
      </c>
      <c r="P51" s="19">
        <f t="shared" si="51"/>
        <v>6.8250949282978013</v>
      </c>
      <c r="Q51" s="19">
        <f t="shared" si="51"/>
        <v>9.0577885195548991</v>
      </c>
      <c r="R51" s="19">
        <f t="shared" si="51"/>
        <v>11.964228765582346</v>
      </c>
      <c r="S51" s="19">
        <f t="shared" si="51"/>
        <v>14.779793396624864</v>
      </c>
      <c r="T51" s="19">
        <f t="shared" si="51"/>
        <v>7.9833974228575251</v>
      </c>
      <c r="U51" s="19">
        <f t="shared" ref="U51:U56" si="53">(T9-V9)/(2*$B$2)</f>
        <v>0</v>
      </c>
      <c r="V51" s="19">
        <f t="shared" si="50"/>
        <v>0</v>
      </c>
    </row>
    <row r="52" spans="6:22" x14ac:dyDescent="0.25">
      <c r="F52" s="3"/>
      <c r="G52" s="11">
        <f t="shared" si="45"/>
        <v>1</v>
      </c>
      <c r="H52" s="18">
        <f t="shared" si="47"/>
        <v>1.2582657898624383</v>
      </c>
      <c r="I52" s="18">
        <f t="shared" si="47"/>
        <v>1.3940516981945716</v>
      </c>
      <c r="J52" s="18">
        <f t="shared" ref="J52:J57" si="54">(J10-K10)/$B$2</f>
        <v>1.6752618169883338</v>
      </c>
      <c r="K52" s="18">
        <f t="shared" ref="K52:K57" si="55">(K10-L10)/$B$2</f>
        <v>2.1213780136500926</v>
      </c>
      <c r="L52" s="18">
        <f t="shared" ref="L52:L57" si="56">(L10-M10)/$B$2</f>
        <v>2.7620426438855183</v>
      </c>
      <c r="M52" s="19">
        <f t="shared" ref="M52:T52" si="57">(L10-N10)/(2*$B$2)</f>
        <v>3.1997673443410379</v>
      </c>
      <c r="N52" s="19">
        <f t="shared" si="57"/>
        <v>4.2187750826335702</v>
      </c>
      <c r="O52" s="19">
        <f t="shared" si="57"/>
        <v>5.5610169673125061</v>
      </c>
      <c r="P52" s="19">
        <f t="shared" si="57"/>
        <v>7.3276117974464317</v>
      </c>
      <c r="Q52" s="19">
        <f t="shared" si="57"/>
        <v>9.7683798919879461</v>
      </c>
      <c r="R52" s="19">
        <f t="shared" si="57"/>
        <v>13.84811313862952</v>
      </c>
      <c r="S52" s="19">
        <f t="shared" si="57"/>
        <v>8.24635713701079</v>
      </c>
      <c r="T52" s="19">
        <f t="shared" si="57"/>
        <v>0</v>
      </c>
      <c r="U52" s="19">
        <f t="shared" si="53"/>
        <v>0</v>
      </c>
      <c r="V52" s="19">
        <f t="shared" si="50"/>
        <v>0</v>
      </c>
    </row>
    <row r="53" spans="6:22" x14ac:dyDescent="0.25">
      <c r="F53" s="3"/>
      <c r="G53" s="11">
        <f t="shared" si="45"/>
        <v>0.8</v>
      </c>
      <c r="H53" s="18">
        <f t="shared" si="47"/>
        <v>1.1790061983657019</v>
      </c>
      <c r="I53" s="18">
        <f t="shared" si="47"/>
        <v>1.3181480166675374</v>
      </c>
      <c r="J53" s="18">
        <f t="shared" si="54"/>
        <v>1.6067605302741139</v>
      </c>
      <c r="K53" s="18">
        <f t="shared" si="55"/>
        <v>2.0655404584557413</v>
      </c>
      <c r="L53" s="18">
        <f t="shared" si="56"/>
        <v>2.7251271150979051</v>
      </c>
      <c r="M53" s="19">
        <f>(M11-N11)/($B$2)</f>
        <v>3.6239804275013032</v>
      </c>
      <c r="N53" s="19">
        <f t="shared" ref="N53:T56" si="58">(M11-O11)/(2*$B$2)</f>
        <v>4.2130196304763645</v>
      </c>
      <c r="O53" s="19">
        <f t="shared" si="58"/>
        <v>5.5431892230397946</v>
      </c>
      <c r="P53" s="19">
        <f t="shared" si="58"/>
        <v>7.1559560857698123</v>
      </c>
      <c r="Q53" s="19">
        <f t="shared" si="58"/>
        <v>8.8400069213490493</v>
      </c>
      <c r="R53" s="19">
        <f t="shared" si="58"/>
        <v>9.1837331243233233</v>
      </c>
      <c r="S53" s="19">
        <f t="shared" si="58"/>
        <v>4.3575224824300038</v>
      </c>
      <c r="T53" s="19">
        <f t="shared" si="58"/>
        <v>0</v>
      </c>
      <c r="U53" s="19">
        <f t="shared" si="53"/>
        <v>0</v>
      </c>
      <c r="V53" s="19">
        <f t="shared" si="50"/>
        <v>0</v>
      </c>
    </row>
    <row r="54" spans="6:22" x14ac:dyDescent="0.25">
      <c r="F54" s="3"/>
      <c r="G54" s="11">
        <f t="shared" si="45"/>
        <v>0.60000000000000009</v>
      </c>
      <c r="H54" s="18">
        <f t="shared" si="47"/>
        <v>0.96060377328321067</v>
      </c>
      <c r="I54" s="18">
        <f t="shared" si="47"/>
        <v>1.0927726630493062</v>
      </c>
      <c r="J54" s="18">
        <f t="shared" si="54"/>
        <v>1.3680911271672969</v>
      </c>
      <c r="K54" s="18">
        <f t="shared" si="55"/>
        <v>1.8088955754443248</v>
      </c>
      <c r="L54" s="18">
        <f t="shared" si="56"/>
        <v>2.4489447861783376</v>
      </c>
      <c r="M54" s="19">
        <f>(M12-N12)/($B$2)</f>
        <v>3.3312437031355735</v>
      </c>
      <c r="N54" s="19">
        <f t="shared" si="58"/>
        <v>3.9155606690916289</v>
      </c>
      <c r="O54" s="19">
        <f t="shared" si="58"/>
        <v>5.2427647242544833</v>
      </c>
      <c r="P54" s="19">
        <f t="shared" si="58"/>
        <v>6.9130171279021591</v>
      </c>
      <c r="Q54" s="19">
        <f t="shared" si="58"/>
        <v>9.2519594616164902</v>
      </c>
      <c r="R54" s="19">
        <f t="shared" si="58"/>
        <v>5.3317682404449736</v>
      </c>
      <c r="S54" s="19">
        <f t="shared" si="58"/>
        <v>0</v>
      </c>
      <c r="T54" s="19">
        <f t="shared" si="58"/>
        <v>0</v>
      </c>
      <c r="U54" s="19">
        <f t="shared" si="53"/>
        <v>0</v>
      </c>
      <c r="V54" s="19">
        <f t="shared" si="50"/>
        <v>0</v>
      </c>
    </row>
    <row r="55" spans="6:22" x14ac:dyDescent="0.25">
      <c r="F55" s="3"/>
      <c r="G55" s="11">
        <f t="shared" si="45"/>
        <v>0.4</v>
      </c>
      <c r="H55" s="18">
        <f t="shared" si="47"/>
        <v>0.61003150835612363</v>
      </c>
      <c r="I55" s="18">
        <f t="shared" si="47"/>
        <v>0.7242469179424349</v>
      </c>
      <c r="J55" s="18">
        <f t="shared" si="54"/>
        <v>0.96393499395390325</v>
      </c>
      <c r="K55" s="18">
        <f t="shared" si="55"/>
        <v>1.3530055378849726</v>
      </c>
      <c r="L55" s="18">
        <f t="shared" si="56"/>
        <v>1.9305124806068674</v>
      </c>
      <c r="M55" s="19">
        <f>(M13-N13)/($B$2)</f>
        <v>2.7521721482663919</v>
      </c>
      <c r="N55" s="19">
        <f t="shared" si="58"/>
        <v>3.3163643301112122</v>
      </c>
      <c r="O55" s="19">
        <f t="shared" si="58"/>
        <v>4.5992923983294309</v>
      </c>
      <c r="P55" s="19">
        <f t="shared" si="58"/>
        <v>6.0013890201717919</v>
      </c>
      <c r="Q55" s="19">
        <f t="shared" si="58"/>
        <v>6.2337558081652222</v>
      </c>
      <c r="R55" s="19">
        <f t="shared" si="58"/>
        <v>2.8913809303448446</v>
      </c>
      <c r="S55" s="19">
        <f t="shared" si="58"/>
        <v>0</v>
      </c>
      <c r="T55" s="19">
        <f t="shared" si="58"/>
        <v>0</v>
      </c>
      <c r="U55" s="19">
        <f t="shared" si="53"/>
        <v>0</v>
      </c>
      <c r="V55" s="19">
        <f t="shared" si="50"/>
        <v>0</v>
      </c>
    </row>
    <row r="56" spans="6:22" x14ac:dyDescent="0.25">
      <c r="F56" s="3"/>
      <c r="G56" s="11">
        <f>G57+B$2</f>
        <v>0.2</v>
      </c>
      <c r="H56" s="18">
        <f t="shared" si="47"/>
        <v>0.14524307051242857</v>
      </c>
      <c r="I56" s="18">
        <f t="shared" si="47"/>
        <v>0.23024777509331518</v>
      </c>
      <c r="J56" s="18">
        <f t="shared" si="54"/>
        <v>0.41039587434057445</v>
      </c>
      <c r="K56" s="18">
        <f t="shared" si="55"/>
        <v>0.70867867120882444</v>
      </c>
      <c r="L56" s="18">
        <f t="shared" si="56"/>
        <v>1.1679273755482145</v>
      </c>
      <c r="M56" s="19">
        <f>(M14-N14)/($B$2)</f>
        <v>1.8663759479415409</v>
      </c>
      <c r="N56" s="19">
        <f t="shared" si="58"/>
        <v>2.4092621807984105</v>
      </c>
      <c r="O56" s="19">
        <f t="shared" si="58"/>
        <v>3.8366520200929264</v>
      </c>
      <c r="P56" s="19">
        <f t="shared" si="58"/>
        <v>6.2594914358499105</v>
      </c>
      <c r="Q56" s="19">
        <f t="shared" si="58"/>
        <v>3.8989136225846242</v>
      </c>
      <c r="R56" s="19">
        <f t="shared" si="58"/>
        <v>0</v>
      </c>
      <c r="S56" s="19">
        <f t="shared" si="58"/>
        <v>0</v>
      </c>
      <c r="T56" s="19">
        <f t="shared" si="58"/>
        <v>0</v>
      </c>
      <c r="U56" s="19">
        <f t="shared" si="53"/>
        <v>0</v>
      </c>
      <c r="V56" s="19">
        <f t="shared" si="50"/>
        <v>0</v>
      </c>
    </row>
    <row r="57" spans="6:22" x14ac:dyDescent="0.25">
      <c r="F57" s="3"/>
      <c r="G57" s="11">
        <v>0</v>
      </c>
      <c r="H57" s="18">
        <f t="shared" si="47"/>
        <v>-0.40455062914892093</v>
      </c>
      <c r="I57" s="18">
        <f t="shared" si="47"/>
        <v>-0.35889523975102033</v>
      </c>
      <c r="J57" s="18">
        <f t="shared" si="54"/>
        <v>-0.26127837412763366</v>
      </c>
      <c r="K57" s="18">
        <f t="shared" si="55"/>
        <v>-9.6614320074568383E-2</v>
      </c>
      <c r="L57" s="18">
        <f t="shared" si="56"/>
        <v>0.16614226933973963</v>
      </c>
      <c r="M57" s="19">
        <f>(M15-N15)/($B$2)</f>
        <v>0.59325600434386505</v>
      </c>
      <c r="N57" s="19">
        <f t="shared" ref="N57:U57" si="59">(N15-O15)/($B$2)</f>
        <v>1.3405058383271773</v>
      </c>
      <c r="O57" s="19">
        <f t="shared" si="59"/>
        <v>2.8166191281709607</v>
      </c>
      <c r="P57" s="19">
        <f t="shared" si="59"/>
        <v>6.2048153229204006</v>
      </c>
      <c r="Q57" s="19">
        <f t="shared" si="59"/>
        <v>0</v>
      </c>
      <c r="R57" s="18">
        <f t="shared" si="59"/>
        <v>0</v>
      </c>
      <c r="S57" s="19">
        <f t="shared" si="59"/>
        <v>0</v>
      </c>
      <c r="T57" s="19">
        <f t="shared" si="59"/>
        <v>0</v>
      </c>
      <c r="U57" s="19">
        <f t="shared" si="59"/>
        <v>0</v>
      </c>
      <c r="V57" s="19">
        <f t="shared" si="50"/>
        <v>0</v>
      </c>
    </row>
    <row r="58" spans="6:22" x14ac:dyDescent="0.25">
      <c r="F58" s="3"/>
      <c r="G58" s="10"/>
      <c r="H58" s="11">
        <v>0</v>
      </c>
      <c r="I58" s="11">
        <f>H58+$B$2</f>
        <v>0.2</v>
      </c>
      <c r="J58" s="11">
        <f t="shared" ref="J58:V58" si="60">I58+$B$2</f>
        <v>0.4</v>
      </c>
      <c r="K58" s="11">
        <f t="shared" si="60"/>
        <v>0.60000000000000009</v>
      </c>
      <c r="L58" s="11">
        <f t="shared" si="60"/>
        <v>0.8</v>
      </c>
      <c r="M58" s="11">
        <f t="shared" si="60"/>
        <v>1</v>
      </c>
      <c r="N58" s="11">
        <f t="shared" si="60"/>
        <v>1.2</v>
      </c>
      <c r="O58" s="16">
        <f t="shared" si="60"/>
        <v>1.4</v>
      </c>
      <c r="P58" s="11">
        <f t="shared" si="60"/>
        <v>1.5999999999999999</v>
      </c>
      <c r="Q58" s="11">
        <f t="shared" si="60"/>
        <v>1.7999999999999998</v>
      </c>
      <c r="R58" s="11">
        <f t="shared" si="60"/>
        <v>1.9999999999999998</v>
      </c>
      <c r="S58" s="11">
        <f t="shared" si="60"/>
        <v>2.1999999999999997</v>
      </c>
      <c r="T58" s="11">
        <f t="shared" si="60"/>
        <v>2.4</v>
      </c>
      <c r="U58" s="11">
        <f t="shared" si="60"/>
        <v>2.6</v>
      </c>
      <c r="V58" s="11">
        <f t="shared" si="60"/>
        <v>2.8000000000000003</v>
      </c>
    </row>
    <row r="59" spans="6:22" x14ac:dyDescent="0.25">
      <c r="F59" s="3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</row>
    <row r="60" spans="6:22" x14ac:dyDescent="0.25">
      <c r="F60" s="3"/>
      <c r="G60" s="10"/>
      <c r="H60" s="11">
        <v>1</v>
      </c>
      <c r="I60" s="11">
        <v>2</v>
      </c>
      <c r="J60" s="11">
        <v>3</v>
      </c>
      <c r="K60" s="11">
        <v>4</v>
      </c>
      <c r="L60" s="11">
        <v>5</v>
      </c>
      <c r="M60" s="11">
        <v>6</v>
      </c>
      <c r="N60" s="11">
        <v>7</v>
      </c>
      <c r="O60" s="11">
        <v>8</v>
      </c>
      <c r="P60" s="11">
        <v>9</v>
      </c>
      <c r="Q60" s="11">
        <v>10</v>
      </c>
      <c r="R60" s="11">
        <v>11</v>
      </c>
      <c r="S60" s="11">
        <v>12</v>
      </c>
      <c r="T60" s="11">
        <v>13</v>
      </c>
      <c r="U60" s="11">
        <v>14</v>
      </c>
      <c r="V60" s="11">
        <v>15</v>
      </c>
    </row>
    <row r="61" spans="6:22" x14ac:dyDescent="0.25">
      <c r="F61" s="3"/>
      <c r="G61" s="11">
        <f t="shared" ref="G61:G69" si="61">G62+B$2</f>
        <v>1.9999999999999998</v>
      </c>
      <c r="H61" s="12">
        <f>(H33^2+H47^2)^0.5</f>
        <v>10</v>
      </c>
      <c r="I61" s="12">
        <f t="shared" ref="I61:U61" si="62">(I33^2+I47^2)^0.5</f>
        <v>10.389725675901609</v>
      </c>
      <c r="J61" s="12">
        <f t="shared" si="62"/>
        <v>10.816860652584612</v>
      </c>
      <c r="K61" s="12">
        <f t="shared" si="62"/>
        <v>11.321693895203673</v>
      </c>
      <c r="L61" s="12">
        <f t="shared" si="62"/>
        <v>11.950619845803736</v>
      </c>
      <c r="M61" s="12">
        <f t="shared" si="62"/>
        <v>12.760182784703513</v>
      </c>
      <c r="N61" s="12">
        <f t="shared" si="62"/>
        <v>13.822735528634382</v>
      </c>
      <c r="O61" s="12">
        <f t="shared" si="62"/>
        <v>15.235257947734411</v>
      </c>
      <c r="P61" s="12">
        <f t="shared" si="62"/>
        <v>17.134795414741042</v>
      </c>
      <c r="Q61" s="12">
        <f t="shared" si="62"/>
        <v>19.729673718862077</v>
      </c>
      <c r="R61" s="12">
        <f t="shared" si="62"/>
        <v>23.374709901966106</v>
      </c>
      <c r="S61" s="12">
        <f t="shared" si="62"/>
        <v>28.786299646819185</v>
      </c>
      <c r="T61" s="12">
        <f t="shared" si="62"/>
        <v>37.739338218133142</v>
      </c>
      <c r="U61" s="12">
        <f t="shared" si="62"/>
        <v>55.508025393555357</v>
      </c>
      <c r="V61" s="12">
        <f>(V33^2+V47^2)^0.5</f>
        <v>100</v>
      </c>
    </row>
    <row r="62" spans="6:22" x14ac:dyDescent="0.25">
      <c r="F62" s="3"/>
      <c r="G62" s="11">
        <f t="shared" si="61"/>
        <v>1.7999999999999998</v>
      </c>
      <c r="H62" s="12">
        <f t="shared" ref="H62:V62" si="63">(H34^2+H48^2)^0.5</f>
        <v>10.007591423637207</v>
      </c>
      <c r="I62" s="12">
        <f t="shared" si="63"/>
        <v>10.379060134396504</v>
      </c>
      <c r="J62" s="12">
        <f t="shared" si="63"/>
        <v>10.788079873315606</v>
      </c>
      <c r="K62" s="12">
        <f t="shared" si="63"/>
        <v>11.273908195848986</v>
      </c>
      <c r="L62" s="12">
        <f t="shared" si="63"/>
        <v>11.882089434605328</v>
      </c>
      <c r="M62" s="12">
        <f t="shared" si="63"/>
        <v>12.668317181003966</v>
      </c>
      <c r="N62" s="12">
        <f t="shared" si="63"/>
        <v>13.703743422074229</v>
      </c>
      <c r="O62" s="12">
        <f t="shared" si="63"/>
        <v>15.082937403261061</v>
      </c>
      <c r="P62" s="12">
        <f t="shared" si="63"/>
        <v>16.936867905900051</v>
      </c>
      <c r="Q62" s="12">
        <f t="shared" si="63"/>
        <v>19.456376338817016</v>
      </c>
      <c r="R62" s="12">
        <f t="shared" si="63"/>
        <v>22.942758571432993</v>
      </c>
      <c r="S62" s="12">
        <f t="shared" si="63"/>
        <v>27.954014612460938</v>
      </c>
      <c r="T62" s="12">
        <f t="shared" si="63"/>
        <v>35.90964314591816</v>
      </c>
      <c r="U62" s="12">
        <f t="shared" si="63"/>
        <v>52.396707787354551</v>
      </c>
      <c r="V62" s="12">
        <f t="shared" si="63"/>
        <v>68.817045885307479</v>
      </c>
    </row>
    <row r="63" spans="6:22" x14ac:dyDescent="0.25">
      <c r="F63" s="3"/>
      <c r="G63" s="11">
        <f t="shared" si="61"/>
        <v>1.5999999999999999</v>
      </c>
      <c r="H63" s="12">
        <f t="shared" ref="H63:V63" si="64">(H35^2+H49^2)^0.5</f>
        <v>10.027493502960594</v>
      </c>
      <c r="I63" s="12">
        <f t="shared" si="64"/>
        <v>10.345641709391098</v>
      </c>
      <c r="J63" s="12">
        <f t="shared" si="64"/>
        <v>10.701474297792371</v>
      </c>
      <c r="K63" s="12">
        <f t="shared" si="64"/>
        <v>11.131321788347609</v>
      </c>
      <c r="L63" s="12">
        <f t="shared" si="64"/>
        <v>11.678362592314425</v>
      </c>
      <c r="M63" s="12">
        <f t="shared" si="64"/>
        <v>12.396062052560197</v>
      </c>
      <c r="N63" s="12">
        <f t="shared" si="64"/>
        <v>13.352690973663497</v>
      </c>
      <c r="O63" s="12">
        <f t="shared" si="64"/>
        <v>14.637487847414267</v>
      </c>
      <c r="P63" s="12">
        <f t="shared" si="64"/>
        <v>16.368777067732807</v>
      </c>
      <c r="Q63" s="12">
        <f t="shared" si="64"/>
        <v>18.701348357747868</v>
      </c>
      <c r="R63" s="12">
        <f t="shared" si="64"/>
        <v>21.817034957233666</v>
      </c>
      <c r="S63" s="12">
        <f t="shared" si="64"/>
        <v>25.837048606435655</v>
      </c>
      <c r="T63" s="12">
        <f t="shared" si="64"/>
        <v>30.450111028347106</v>
      </c>
      <c r="U63" s="12">
        <f t="shared" si="64"/>
        <v>33.313280928294212</v>
      </c>
      <c r="V63" s="12">
        <f t="shared" si="64"/>
        <v>21.302339128654861</v>
      </c>
    </row>
    <row r="64" spans="6:22" x14ac:dyDescent="0.25">
      <c r="F64" s="3"/>
      <c r="G64" s="11">
        <f t="shared" si="61"/>
        <v>1.4</v>
      </c>
      <c r="H64" s="12">
        <f t="shared" ref="H64:V64" si="65">(H36^2+H50^2)^0.5</f>
        <v>10.05213107328388</v>
      </c>
      <c r="I64" s="12">
        <f t="shared" si="65"/>
        <v>10.285961804519447</v>
      </c>
      <c r="J64" s="12">
        <f t="shared" si="65"/>
        <v>10.556814383034286</v>
      </c>
      <c r="K64" s="12">
        <f t="shared" si="65"/>
        <v>10.896598424228573</v>
      </c>
      <c r="L64" s="12">
        <f t="shared" si="65"/>
        <v>11.345048258439572</v>
      </c>
      <c r="M64" s="12">
        <f t="shared" si="65"/>
        <v>11.952752021166654</v>
      </c>
      <c r="N64" s="12">
        <f t="shared" si="65"/>
        <v>12.784875532324531</v>
      </c>
      <c r="O64" s="12">
        <f t="shared" si="65"/>
        <v>13.925982326926773</v>
      </c>
      <c r="P64" s="12">
        <f t="shared" si="65"/>
        <v>15.486519387792182</v>
      </c>
      <c r="Q64" s="12">
        <f t="shared" si="65"/>
        <v>17.607781365416241</v>
      </c>
      <c r="R64" s="12">
        <f t="shared" si="65"/>
        <v>20.439255093487681</v>
      </c>
      <c r="S64" s="12">
        <f t="shared" si="65"/>
        <v>23.984134234786691</v>
      </c>
      <c r="T64" s="12">
        <f t="shared" si="65"/>
        <v>27.636498117835647</v>
      </c>
      <c r="U64" s="12">
        <f t="shared" si="65"/>
        <v>16.106321939514753</v>
      </c>
      <c r="V64" s="12">
        <f t="shared" si="65"/>
        <v>2.5</v>
      </c>
    </row>
    <row r="65" spans="6:22" x14ac:dyDescent="0.25">
      <c r="F65" s="3"/>
      <c r="G65" s="11">
        <f t="shared" si="61"/>
        <v>1.2</v>
      </c>
      <c r="H65" s="12">
        <f t="shared" ref="H65:V65" si="66">(H37^2+H51^2)^0.5</f>
        <v>10.071949922222291</v>
      </c>
      <c r="I65" s="12">
        <f t="shared" si="66"/>
        <v>10.196464563721252</v>
      </c>
      <c r="J65" s="12">
        <f t="shared" si="66"/>
        <v>10.355471204518031</v>
      </c>
      <c r="K65" s="12">
        <f t="shared" si="66"/>
        <v>10.575368187976036</v>
      </c>
      <c r="L65" s="12">
        <f t="shared" si="66"/>
        <v>10.891824848460786</v>
      </c>
      <c r="M65" s="12">
        <f t="shared" si="66"/>
        <v>11.352657518173569</v>
      </c>
      <c r="N65" s="12">
        <f t="shared" si="66"/>
        <v>12.020739744391012</v>
      </c>
      <c r="O65" s="12">
        <f t="shared" si="66"/>
        <v>12.977351449327916</v>
      </c>
      <c r="P65" s="12">
        <f t="shared" si="66"/>
        <v>14.330202798988102</v>
      </c>
      <c r="Q65" s="12">
        <f t="shared" si="66"/>
        <v>16.237933270603435</v>
      </c>
      <c r="R65" s="12">
        <f t="shared" si="66"/>
        <v>18.949897566361518</v>
      </c>
      <c r="S65" s="12">
        <f t="shared" si="66"/>
        <v>22.642769886433001</v>
      </c>
      <c r="T65" s="12">
        <f t="shared" si="66"/>
        <v>12.567129185146618</v>
      </c>
      <c r="U65" s="12">
        <f t="shared" si="66"/>
        <v>0</v>
      </c>
      <c r="V65" s="12">
        <f t="shared" si="66"/>
        <v>0</v>
      </c>
    </row>
    <row r="66" spans="6:22" x14ac:dyDescent="0.25">
      <c r="F66" s="3"/>
      <c r="G66" s="11">
        <f t="shared" si="61"/>
        <v>1</v>
      </c>
      <c r="H66" s="12">
        <f t="shared" ref="H66:L71" si="67">(H38^2+H52^2)^0.5</f>
        <v>10.078850767718418</v>
      </c>
      <c r="I66" s="12">
        <f t="shared" si="67"/>
        <v>10.15269042326981</v>
      </c>
      <c r="J66" s="12">
        <f t="shared" si="67"/>
        <v>10.263691662261722</v>
      </c>
      <c r="K66" s="12">
        <f t="shared" si="67"/>
        <v>10.440249963789084</v>
      </c>
      <c r="L66" s="12">
        <f t="shared" si="67"/>
        <v>10.722995648035473</v>
      </c>
      <c r="M66" s="13">
        <f t="shared" ref="M66:T71" si="68">(M38^2+M52^2)^0.5</f>
        <v>11.033210716442415</v>
      </c>
      <c r="N66" s="12">
        <f t="shared" si="68"/>
        <v>11.085501925742166</v>
      </c>
      <c r="O66" s="12">
        <f t="shared" si="68"/>
        <v>11.822565900674885</v>
      </c>
      <c r="P66" s="12">
        <f t="shared" si="68"/>
        <v>12.919156788301656</v>
      </c>
      <c r="Q66" s="12">
        <f t="shared" si="68"/>
        <v>14.535564647096816</v>
      </c>
      <c r="R66" s="12">
        <f t="shared" si="68"/>
        <v>17.331877235578254</v>
      </c>
      <c r="S66" s="12">
        <f t="shared" si="68"/>
        <v>11.477675742170842</v>
      </c>
      <c r="T66" s="12">
        <f t="shared" si="68"/>
        <v>0</v>
      </c>
      <c r="U66" s="12">
        <f t="shared" ref="U66:V71" si="69">(U38^2+U52^2)^0.5</f>
        <v>0</v>
      </c>
      <c r="V66" s="12">
        <f t="shared" si="69"/>
        <v>0</v>
      </c>
    </row>
    <row r="67" spans="6:22" x14ac:dyDescent="0.25">
      <c r="F67" s="3"/>
      <c r="G67" s="11">
        <f t="shared" si="61"/>
        <v>0.8</v>
      </c>
      <c r="H67" s="12">
        <f t="shared" si="67"/>
        <v>10.069262913231769</v>
      </c>
      <c r="I67" s="12">
        <f t="shared" si="67"/>
        <v>10.007927080407514</v>
      </c>
      <c r="J67" s="12">
        <f t="shared" si="67"/>
        <v>9.9750934623424357</v>
      </c>
      <c r="K67" s="12">
        <f t="shared" si="67"/>
        <v>9.992156525297256</v>
      </c>
      <c r="L67" s="12">
        <f t="shared" si="67"/>
        <v>10.09526606519346</v>
      </c>
      <c r="M67" s="13">
        <f t="shared" si="68"/>
        <v>9.9198202548600225</v>
      </c>
      <c r="N67" s="12">
        <f t="shared" si="68"/>
        <v>10.01072608879516</v>
      </c>
      <c r="O67" s="12">
        <f t="shared" si="68"/>
        <v>10.511357111469895</v>
      </c>
      <c r="P67" s="12">
        <f t="shared" si="68"/>
        <v>11.313442367240995</v>
      </c>
      <c r="Q67" s="12">
        <f t="shared" si="68"/>
        <v>12.274927812184194</v>
      </c>
      <c r="R67" s="12">
        <f t="shared" si="68"/>
        <v>12.34274524285105</v>
      </c>
      <c r="S67" s="12">
        <f t="shared" si="68"/>
        <v>4.3575224824300038</v>
      </c>
      <c r="T67" s="12">
        <f t="shared" si="68"/>
        <v>0</v>
      </c>
      <c r="U67" s="12">
        <f t="shared" si="69"/>
        <v>0</v>
      </c>
      <c r="V67" s="12">
        <f t="shared" si="69"/>
        <v>0</v>
      </c>
    </row>
    <row r="68" spans="6:22" x14ac:dyDescent="0.25">
      <c r="F68" s="3"/>
      <c r="G68" s="11">
        <f t="shared" si="61"/>
        <v>0.60000000000000009</v>
      </c>
      <c r="H68" s="12">
        <f t="shared" si="67"/>
        <v>10.046032033058919</v>
      </c>
      <c r="I68" s="12">
        <f t="shared" si="67"/>
        <v>9.8424490453717848</v>
      </c>
      <c r="J68" s="12">
        <f t="shared" si="67"/>
        <v>9.6536550837021302</v>
      </c>
      <c r="K68" s="12">
        <f t="shared" si="67"/>
        <v>9.4915169347511732</v>
      </c>
      <c r="L68" s="12">
        <f t="shared" si="67"/>
        <v>9.3860206251412457</v>
      </c>
      <c r="M68" s="13">
        <f t="shared" si="68"/>
        <v>8.9840091856022681</v>
      </c>
      <c r="N68" s="12">
        <f t="shared" si="68"/>
        <v>8.8239938140168448</v>
      </c>
      <c r="O68" s="12">
        <f t="shared" si="68"/>
        <v>9.1073151044936722</v>
      </c>
      <c r="P68" s="12">
        <f t="shared" si="68"/>
        <v>9.8124384584891544</v>
      </c>
      <c r="Q68" s="12">
        <f t="shared" si="68"/>
        <v>11.188943203558621</v>
      </c>
      <c r="R68" s="12">
        <f t="shared" si="68"/>
        <v>6.8859098712298454</v>
      </c>
      <c r="S68" s="12">
        <f t="shared" si="68"/>
        <v>0</v>
      </c>
      <c r="T68" s="12">
        <f t="shared" si="68"/>
        <v>0</v>
      </c>
      <c r="U68" s="12">
        <f t="shared" si="69"/>
        <v>0</v>
      </c>
      <c r="V68" s="12">
        <f t="shared" si="69"/>
        <v>0</v>
      </c>
    </row>
    <row r="69" spans="6:22" x14ac:dyDescent="0.25">
      <c r="F69" s="3"/>
      <c r="G69" s="11">
        <f t="shared" si="61"/>
        <v>0.4</v>
      </c>
      <c r="H69" s="12">
        <f t="shared" si="67"/>
        <v>10.018589643317428</v>
      </c>
      <c r="I69" s="12">
        <f t="shared" si="67"/>
        <v>9.6765690827143622</v>
      </c>
      <c r="J69" s="12">
        <f t="shared" si="67"/>
        <v>9.3308259237821254</v>
      </c>
      <c r="K69" s="12">
        <f t="shared" si="67"/>
        <v>8.9792672858603932</v>
      </c>
      <c r="L69" s="12">
        <f t="shared" si="67"/>
        <v>8.6393108038442783</v>
      </c>
      <c r="M69" s="13">
        <f t="shared" si="68"/>
        <v>7.9811282744320069</v>
      </c>
      <c r="N69" s="12">
        <f t="shared" si="68"/>
        <v>7.5289107168340514</v>
      </c>
      <c r="O69" s="12">
        <f t="shared" si="68"/>
        <v>7.5483265710830869</v>
      </c>
      <c r="P69" s="12">
        <f t="shared" si="68"/>
        <v>8.0418760203210624</v>
      </c>
      <c r="Q69" s="12">
        <f t="shared" si="68"/>
        <v>8.2028936385675113</v>
      </c>
      <c r="R69" s="12">
        <f t="shared" si="68"/>
        <v>2.8913809303448446</v>
      </c>
      <c r="S69" s="12">
        <f t="shared" si="68"/>
        <v>0</v>
      </c>
      <c r="T69" s="12">
        <f t="shared" si="68"/>
        <v>0</v>
      </c>
      <c r="U69" s="12">
        <f t="shared" si="69"/>
        <v>0</v>
      </c>
      <c r="V69" s="12">
        <f t="shared" si="69"/>
        <v>0</v>
      </c>
    </row>
    <row r="70" spans="6:22" x14ac:dyDescent="0.25">
      <c r="F70" s="3"/>
      <c r="G70" s="11">
        <f>G71+B$2</f>
        <v>0.2</v>
      </c>
      <c r="H70" s="12">
        <f t="shared" si="67"/>
        <v>10.001054721854684</v>
      </c>
      <c r="I70" s="12">
        <f t="shared" si="67"/>
        <v>9.5379910658909033</v>
      </c>
      <c r="J70" s="12">
        <f t="shared" si="67"/>
        <v>9.0505219067582079</v>
      </c>
      <c r="K70" s="12">
        <f t="shared" si="67"/>
        <v>8.5172074943236122</v>
      </c>
      <c r="L70" s="12">
        <f t="shared" si="67"/>
        <v>7.9298258255075531</v>
      </c>
      <c r="M70" s="13">
        <f t="shared" si="68"/>
        <v>6.9854805059488534</v>
      </c>
      <c r="N70" s="12">
        <f t="shared" si="68"/>
        <v>6.1441460490731439</v>
      </c>
      <c r="O70" s="12">
        <f t="shared" si="68"/>
        <v>5.8242840596684937</v>
      </c>
      <c r="P70" s="12">
        <f t="shared" si="68"/>
        <v>6.9990409522556263</v>
      </c>
      <c r="Q70" s="12">
        <f t="shared" si="68"/>
        <v>4.8540303996511778</v>
      </c>
      <c r="R70" s="12">
        <f t="shared" si="68"/>
        <v>0</v>
      </c>
      <c r="S70" s="12">
        <f t="shared" si="68"/>
        <v>0</v>
      </c>
      <c r="T70" s="12">
        <f t="shared" si="68"/>
        <v>0</v>
      </c>
      <c r="U70" s="12">
        <f t="shared" si="69"/>
        <v>0</v>
      </c>
      <c r="V70" s="12">
        <f t="shared" si="69"/>
        <v>0</v>
      </c>
    </row>
    <row r="71" spans="6:22" x14ac:dyDescent="0.25">
      <c r="F71" s="3"/>
      <c r="G71" s="11">
        <v>0</v>
      </c>
      <c r="H71" s="12">
        <f t="shared" si="67"/>
        <v>10.008179715190209</v>
      </c>
      <c r="I71" s="12">
        <f t="shared" si="67"/>
        <v>9.4570188173692582</v>
      </c>
      <c r="J71" s="12">
        <f t="shared" si="67"/>
        <v>8.8649144913147406</v>
      </c>
      <c r="K71" s="12">
        <f t="shared" si="67"/>
        <v>8.1899589209352488</v>
      </c>
      <c r="L71" s="12">
        <f t="shared" si="67"/>
        <v>7.3859649109926417</v>
      </c>
      <c r="M71" s="13">
        <f t="shared" si="68"/>
        <v>6.1972150091473983</v>
      </c>
      <c r="N71" s="13">
        <f t="shared" si="68"/>
        <v>5.2821197009863852</v>
      </c>
      <c r="O71" s="13">
        <f t="shared" si="68"/>
        <v>4.4906779296314809</v>
      </c>
      <c r="P71" s="13">
        <f t="shared" si="68"/>
        <v>6.4060455958395091</v>
      </c>
      <c r="Q71" s="13">
        <f>(Q43^2+Q57^2)^0.5</f>
        <v>0</v>
      </c>
      <c r="R71" s="12">
        <f>(R43^2+R57^2)^0.5</f>
        <v>0</v>
      </c>
      <c r="S71" s="12">
        <f>(S43^2+S57^2)^0.5</f>
        <v>0</v>
      </c>
      <c r="T71" s="12">
        <f>(T43^2+T57^2)^0.5</f>
        <v>0</v>
      </c>
      <c r="U71" s="12">
        <f t="shared" si="69"/>
        <v>0</v>
      </c>
      <c r="V71" s="12">
        <f t="shared" si="69"/>
        <v>0</v>
      </c>
    </row>
    <row r="72" spans="6:22" x14ac:dyDescent="0.25">
      <c r="F72" s="3"/>
      <c r="G72" s="10"/>
      <c r="H72" s="11">
        <v>0</v>
      </c>
      <c r="I72" s="11">
        <f>H72+$B$2</f>
        <v>0.2</v>
      </c>
      <c r="J72" s="11">
        <f t="shared" ref="J72:V72" si="70">I72+$B$2</f>
        <v>0.4</v>
      </c>
      <c r="K72" s="11">
        <f t="shared" si="70"/>
        <v>0.60000000000000009</v>
      </c>
      <c r="L72" s="11">
        <f t="shared" si="70"/>
        <v>0.8</v>
      </c>
      <c r="M72" s="11">
        <f t="shared" si="70"/>
        <v>1</v>
      </c>
      <c r="N72" s="11">
        <f t="shared" si="70"/>
        <v>1.2</v>
      </c>
      <c r="O72" s="11">
        <f t="shared" si="70"/>
        <v>1.4</v>
      </c>
      <c r="P72" s="11">
        <f t="shared" si="70"/>
        <v>1.5999999999999999</v>
      </c>
      <c r="Q72" s="11">
        <f t="shared" si="70"/>
        <v>1.7999999999999998</v>
      </c>
      <c r="R72" s="11">
        <f t="shared" si="70"/>
        <v>1.9999999999999998</v>
      </c>
      <c r="S72" s="11">
        <f t="shared" si="70"/>
        <v>2.1999999999999997</v>
      </c>
      <c r="T72" s="11">
        <f t="shared" si="70"/>
        <v>2.4</v>
      </c>
      <c r="U72" s="11">
        <f t="shared" si="70"/>
        <v>2.6</v>
      </c>
      <c r="V72" s="11">
        <f t="shared" si="70"/>
        <v>2.8000000000000003</v>
      </c>
    </row>
  </sheetData>
  <conditionalFormatting sqref="H19:V29">
    <cfRule type="colorScale" priority="5">
      <colorScale>
        <cfvo type="min"/>
        <cfvo type="max"/>
        <color theme="4" tint="0.39997558519241921"/>
        <color rgb="FFFFFF0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1">
      <colorScale>
        <cfvo type="min"/>
        <cfvo type="max"/>
        <color rgb="FFBA6EA8"/>
        <color rgb="FFFFFF00"/>
      </colorScale>
    </cfRule>
    <cfRule type="colorScale" priority="2">
      <colorScale>
        <cfvo type="min"/>
        <cfvo type="max"/>
        <color theme="5" tint="0.39997558519241921"/>
        <color rgb="FFBA6EA8"/>
      </colorScale>
    </cfRule>
    <cfRule type="colorScale" priority="3">
      <colorScale>
        <cfvo type="min"/>
        <cfvo type="max"/>
        <color rgb="FFBA6EA8"/>
        <color rgb="FFBAA7F5"/>
      </colorScale>
    </cfRule>
    <cfRule type="colorScale" priority="4">
      <colorScale>
        <cfvo type="min"/>
        <cfvo type="max"/>
        <color theme="9"/>
        <color rgb="FFEDAFD5"/>
      </colorScale>
    </cfRule>
    <cfRule type="colorScale" priority="6">
      <colorScale>
        <cfvo type="min"/>
        <cfvo type="max"/>
        <color theme="4" tint="0.79998168889431442"/>
        <color theme="4"/>
      </colorScale>
    </cfRule>
    <cfRule type="colorScale" priority="7">
      <colorScale>
        <cfvo type="min"/>
        <cfvo type="max"/>
        <color theme="4" tint="0.59999389629810485"/>
        <color theme="4"/>
      </colorScale>
    </cfRule>
    <cfRule type="colorScale" priority="8">
      <colorScale>
        <cfvo type="min"/>
        <cfvo type="max"/>
        <color theme="4"/>
        <color theme="4" tint="0.59999389629810485"/>
      </colorScale>
    </cfRule>
    <cfRule type="colorScale" priority="10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I47 AI8:AN8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N72"/>
  <sheetViews>
    <sheetView topLeftCell="B42" zoomScale="70" zoomScaleNormal="70" workbookViewId="0">
      <selection activeCell="AB48" sqref="AB48"/>
    </sheetView>
  </sheetViews>
  <sheetFormatPr defaultRowHeight="15" x14ac:dyDescent="0.25"/>
  <cols>
    <col min="1" max="1" width="9.28515625" customWidth="1"/>
    <col min="7" max="7" width="5.140625" bestFit="1" customWidth="1"/>
    <col min="8" max="22" width="6.140625" bestFit="1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 x14ac:dyDescent="0.25"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40" x14ac:dyDescent="0.25">
      <c r="A2" s="1" t="s">
        <v>0</v>
      </c>
      <c r="B2" s="4">
        <v>0.2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40" x14ac:dyDescent="0.25">
      <c r="B3" s="3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40" x14ac:dyDescent="0.25">
      <c r="A4" s="1" t="s">
        <v>1</v>
      </c>
      <c r="B4" s="4">
        <v>10</v>
      </c>
      <c r="F4" s="3"/>
      <c r="G4" s="10"/>
      <c r="H4" s="17">
        <v>1</v>
      </c>
      <c r="I4" s="17">
        <v>2</v>
      </c>
      <c r="J4" s="17">
        <v>3</v>
      </c>
      <c r="K4" s="17">
        <v>4</v>
      </c>
      <c r="L4" s="17">
        <v>5</v>
      </c>
      <c r="M4" s="17">
        <v>6</v>
      </c>
      <c r="N4" s="17">
        <v>7</v>
      </c>
      <c r="O4" s="17">
        <v>8</v>
      </c>
      <c r="P4" s="17">
        <v>9</v>
      </c>
      <c r="Q4" s="17">
        <v>10</v>
      </c>
      <c r="R4" s="17">
        <v>11</v>
      </c>
      <c r="S4" s="17">
        <v>12</v>
      </c>
      <c r="T4" s="17">
        <v>13</v>
      </c>
      <c r="U4" s="17">
        <v>14</v>
      </c>
      <c r="V4" s="17">
        <v>15</v>
      </c>
      <c r="W4" s="3"/>
    </row>
    <row r="5" spans="1:40" x14ac:dyDescent="0.25">
      <c r="A5" s="1" t="s">
        <v>2</v>
      </c>
      <c r="B5" s="4">
        <v>101325</v>
      </c>
      <c r="F5" s="22" t="s">
        <v>9</v>
      </c>
      <c r="G5" s="11">
        <f t="shared" ref="G5:G14" si="0">G6+B$2</f>
        <v>1.9999999999999998</v>
      </c>
      <c r="H5" s="18">
        <f>H6+$B$4*$B$2</f>
        <v>10</v>
      </c>
      <c r="I5" s="19">
        <f t="shared" ref="I5:V5" si="1">H5</f>
        <v>10</v>
      </c>
      <c r="J5" s="19">
        <f t="shared" si="1"/>
        <v>10</v>
      </c>
      <c r="K5" s="19">
        <f t="shared" si="1"/>
        <v>10</v>
      </c>
      <c r="L5" s="19">
        <f t="shared" si="1"/>
        <v>10</v>
      </c>
      <c r="M5" s="19">
        <f t="shared" si="1"/>
        <v>10</v>
      </c>
      <c r="N5" s="19">
        <f t="shared" si="1"/>
        <v>10</v>
      </c>
      <c r="O5" s="19">
        <f t="shared" si="1"/>
        <v>10</v>
      </c>
      <c r="P5" s="19">
        <f t="shared" si="1"/>
        <v>10</v>
      </c>
      <c r="Q5" s="19">
        <f t="shared" si="1"/>
        <v>10</v>
      </c>
      <c r="R5" s="19">
        <f t="shared" si="1"/>
        <v>10</v>
      </c>
      <c r="S5" s="19">
        <f t="shared" si="1"/>
        <v>10</v>
      </c>
      <c r="T5" s="19">
        <f t="shared" si="1"/>
        <v>10</v>
      </c>
      <c r="U5" s="19">
        <f t="shared" si="1"/>
        <v>10</v>
      </c>
      <c r="V5" s="19">
        <f t="shared" si="1"/>
        <v>10</v>
      </c>
      <c r="W5" s="4">
        <v>11</v>
      </c>
      <c r="Y5" s="25">
        <v>0</v>
      </c>
      <c r="Z5" s="25">
        <v>1</v>
      </c>
      <c r="AA5" s="25">
        <v>2</v>
      </c>
      <c r="AB5" s="25">
        <v>3</v>
      </c>
      <c r="AC5" s="25">
        <v>4</v>
      </c>
      <c r="AD5" s="25">
        <v>5</v>
      </c>
      <c r="AE5" s="25">
        <v>6</v>
      </c>
      <c r="AF5" s="25">
        <v>7</v>
      </c>
      <c r="AG5" s="25">
        <v>8</v>
      </c>
      <c r="AH5" s="25">
        <v>9</v>
      </c>
      <c r="AI5" s="25">
        <v>10</v>
      </c>
      <c r="AJ5" s="25">
        <v>11</v>
      </c>
      <c r="AK5" s="25">
        <v>12</v>
      </c>
      <c r="AL5" s="25">
        <v>13</v>
      </c>
      <c r="AM5" s="25">
        <v>14</v>
      </c>
      <c r="AN5" s="25">
        <v>15</v>
      </c>
    </row>
    <row r="6" spans="1:40" x14ac:dyDescent="0.25">
      <c r="A6" s="1" t="s">
        <v>3</v>
      </c>
      <c r="B6" s="4">
        <f>((G5-G10)*B4)/(G5-G15)</f>
        <v>5</v>
      </c>
      <c r="F6" s="3"/>
      <c r="G6" s="11">
        <f t="shared" si="0"/>
        <v>1.7999999999999998</v>
      </c>
      <c r="H6" s="18">
        <f>H7+$B$4*$B$2</f>
        <v>8</v>
      </c>
      <c r="I6" s="19">
        <f t="shared" ref="I6:U6" si="2">0.25*(I19+J20+I21+H20)</f>
        <v>8.0283446536118888</v>
      </c>
      <c r="J6" s="19">
        <f t="shared" si="2"/>
        <v>8.0648681706752168</v>
      </c>
      <c r="K6" s="19">
        <f t="shared" si="2"/>
        <v>8.1180730284595946</v>
      </c>
      <c r="L6" s="19">
        <f t="shared" si="2"/>
        <v>8.1952172103898704</v>
      </c>
      <c r="M6" s="19">
        <f t="shared" si="2"/>
        <v>8.296886994359987</v>
      </c>
      <c r="N6" s="19">
        <f t="shared" si="2"/>
        <v>8.4102907540808509</v>
      </c>
      <c r="O6" s="19">
        <f t="shared" si="2"/>
        <v>8.5221491515603631</v>
      </c>
      <c r="P6" s="19">
        <f t="shared" si="2"/>
        <v>8.6241902045622538</v>
      </c>
      <c r="Q6" s="19">
        <f t="shared" si="2"/>
        <v>8.7130064632652164</v>
      </c>
      <c r="R6" s="19">
        <f t="shared" si="2"/>
        <v>8.7884288893720282</v>
      </c>
      <c r="S6" s="19">
        <f t="shared" si="2"/>
        <v>8.8521085576106415</v>
      </c>
      <c r="T6" s="19">
        <f t="shared" si="2"/>
        <v>8.9066038242224241</v>
      </c>
      <c r="U6" s="19">
        <f t="shared" si="2"/>
        <v>8.9548688221783639</v>
      </c>
      <c r="V6" s="19">
        <f t="shared" ref="V6:V14" si="3">V7+$B$6*$B$2</f>
        <v>9</v>
      </c>
      <c r="W6" s="4">
        <v>10</v>
      </c>
      <c r="Y6" s="26" t="s">
        <v>9</v>
      </c>
      <c r="Z6" s="5">
        <f>H10</f>
        <v>0</v>
      </c>
      <c r="AA6" s="5">
        <f>I10</f>
        <v>0</v>
      </c>
      <c r="AB6" s="5">
        <f>J10</f>
        <v>0</v>
      </c>
      <c r="AC6" s="5">
        <f>K10</f>
        <v>0</v>
      </c>
      <c r="AD6" s="5">
        <f>L10</f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 t="shared" ref="AI6:AN7" si="4">Q15</f>
        <v>0</v>
      </c>
      <c r="AJ6" s="5">
        <f t="shared" si="4"/>
        <v>0</v>
      </c>
      <c r="AK6" s="5">
        <f t="shared" si="4"/>
        <v>0</v>
      </c>
      <c r="AL6" s="5">
        <f t="shared" si="4"/>
        <v>0</v>
      </c>
      <c r="AM6" s="5">
        <f t="shared" si="4"/>
        <v>0</v>
      </c>
      <c r="AN6" s="5">
        <f t="shared" si="4"/>
        <v>0</v>
      </c>
    </row>
    <row r="7" spans="1:40" x14ac:dyDescent="0.25">
      <c r="B7" s="3"/>
      <c r="F7" s="3"/>
      <c r="G7" s="11">
        <f t="shared" si="0"/>
        <v>1.5999999999999999</v>
      </c>
      <c r="H7" s="18">
        <f>H8+$B$4*$B$2</f>
        <v>6</v>
      </c>
      <c r="I7" s="19">
        <f t="shared" ref="I7:U7" si="5">0.25*(I20+J21+I22+H21)</f>
        <v>6.0485104437723365</v>
      </c>
      <c r="J7" s="19">
        <f t="shared" si="5"/>
        <v>6.1130550006293829</v>
      </c>
      <c r="K7" s="19">
        <f t="shared" si="5"/>
        <v>6.2122067327732937</v>
      </c>
      <c r="L7" s="19">
        <f t="shared" si="5"/>
        <v>6.3659088187399009</v>
      </c>
      <c r="M7" s="19">
        <f t="shared" si="5"/>
        <v>6.5820400129692249</v>
      </c>
      <c r="N7" s="19">
        <f t="shared" si="5"/>
        <v>6.8221268704030518</v>
      </c>
      <c r="O7" s="19">
        <f t="shared" si="5"/>
        <v>7.0541156475983513</v>
      </c>
      <c r="P7" s="19">
        <f t="shared" si="5"/>
        <v>7.2616052034234357</v>
      </c>
      <c r="Q7" s="19">
        <f t="shared" si="5"/>
        <v>7.4394067591265802</v>
      </c>
      <c r="R7" s="19">
        <f t="shared" si="5"/>
        <v>7.5886005366122555</v>
      </c>
      <c r="S7" s="19">
        <f t="shared" si="5"/>
        <v>7.7134015168481191</v>
      </c>
      <c r="T7" s="19">
        <f t="shared" si="5"/>
        <v>7.819437917100692</v>
      </c>
      <c r="U7" s="19">
        <f t="shared" si="5"/>
        <v>7.9128714644910314</v>
      </c>
      <c r="V7" s="19">
        <f t="shared" si="3"/>
        <v>8</v>
      </c>
      <c r="W7" s="4">
        <v>9</v>
      </c>
      <c r="Y7" s="5" t="s">
        <v>12</v>
      </c>
      <c r="Z7" s="5">
        <f t="shared" ref="Z7:AH7" si="6">H16</f>
        <v>0</v>
      </c>
      <c r="AA7" s="5">
        <f t="shared" si="6"/>
        <v>0.2</v>
      </c>
      <c r="AB7" s="5">
        <f t="shared" si="6"/>
        <v>0.4</v>
      </c>
      <c r="AC7" s="5">
        <f t="shared" si="6"/>
        <v>0.60000000000000009</v>
      </c>
      <c r="AD7" s="5">
        <f t="shared" si="6"/>
        <v>0.8</v>
      </c>
      <c r="AE7" s="5">
        <f t="shared" si="6"/>
        <v>1</v>
      </c>
      <c r="AF7" s="5">
        <f t="shared" si="6"/>
        <v>1.2</v>
      </c>
      <c r="AG7" s="5">
        <f t="shared" si="6"/>
        <v>1.4</v>
      </c>
      <c r="AH7" s="5">
        <f t="shared" si="6"/>
        <v>1.5999999999999999</v>
      </c>
      <c r="AI7" s="5">
        <f t="shared" si="4"/>
        <v>1.7999999999999998</v>
      </c>
      <c r="AJ7" s="5">
        <f t="shared" si="4"/>
        <v>1.9999999999999998</v>
      </c>
      <c r="AK7" s="5">
        <f t="shared" si="4"/>
        <v>2.1999999999999997</v>
      </c>
      <c r="AL7" s="5">
        <f t="shared" si="4"/>
        <v>2.4</v>
      </c>
      <c r="AM7" s="5">
        <f t="shared" si="4"/>
        <v>2.6</v>
      </c>
      <c r="AN7" s="5">
        <f t="shared" si="4"/>
        <v>2.8000000000000003</v>
      </c>
    </row>
    <row r="8" spans="1:40" x14ac:dyDescent="0.25">
      <c r="A8" s="1" t="s">
        <v>4</v>
      </c>
      <c r="B8" s="4">
        <v>350</v>
      </c>
      <c r="C8">
        <v>350</v>
      </c>
      <c r="F8" s="3"/>
      <c r="G8" s="11">
        <f t="shared" si="0"/>
        <v>1.4</v>
      </c>
      <c r="H8" s="18">
        <f>H9+$B$4*$B$2</f>
        <v>4</v>
      </c>
      <c r="I8" s="19">
        <f t="shared" ref="I8:U8" si="7">0.25*(I21+J22+I23+H22)</f>
        <v>4.0526421208480716</v>
      </c>
      <c r="J8" s="19">
        <f t="shared" si="7"/>
        <v>4.1266346552966846</v>
      </c>
      <c r="K8" s="19">
        <f t="shared" si="7"/>
        <v>4.2517900832642983</v>
      </c>
      <c r="L8" s="19">
        <f t="shared" si="7"/>
        <v>4.4741713188272172</v>
      </c>
      <c r="M8" s="19">
        <f t="shared" si="7"/>
        <v>4.8432373683739609</v>
      </c>
      <c r="N8" s="19">
        <f t="shared" si="7"/>
        <v>5.2420610669637835</v>
      </c>
      <c r="O8" s="19">
        <f t="shared" si="7"/>
        <v>5.6105813650065528</v>
      </c>
      <c r="P8" s="19">
        <f t="shared" si="7"/>
        <v>5.9287082024065594</v>
      </c>
      <c r="Q8" s="19">
        <f t="shared" si="7"/>
        <v>6.1944148332054123</v>
      </c>
      <c r="R8" s="19">
        <f t="shared" si="7"/>
        <v>6.4131649811022928</v>
      </c>
      <c r="S8" s="19">
        <f t="shared" si="7"/>
        <v>6.5934590560688875</v>
      </c>
      <c r="T8" s="19">
        <f t="shared" si="7"/>
        <v>6.7448748628411934</v>
      </c>
      <c r="U8" s="19">
        <f t="shared" si="7"/>
        <v>6.8771791186850724</v>
      </c>
      <c r="V8" s="19">
        <f t="shared" si="3"/>
        <v>7</v>
      </c>
      <c r="W8" s="4">
        <v>8</v>
      </c>
      <c r="Y8" s="5" t="s">
        <v>13</v>
      </c>
      <c r="Z8" s="5">
        <f>$G10</f>
        <v>1</v>
      </c>
      <c r="AA8" s="5">
        <f>$G10</f>
        <v>1</v>
      </c>
      <c r="AB8" s="5">
        <f>$G10</f>
        <v>1</v>
      </c>
      <c r="AC8" s="5">
        <f>$G10</f>
        <v>1</v>
      </c>
      <c r="AD8" s="5">
        <f>$G10</f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 t="shared" ref="AI8:AN8" si="8">$G15</f>
        <v>0</v>
      </c>
      <c r="AJ8" s="5">
        <f t="shared" si="8"/>
        <v>0</v>
      </c>
      <c r="AK8" s="5">
        <f t="shared" si="8"/>
        <v>0</v>
      </c>
      <c r="AL8" s="5">
        <f t="shared" si="8"/>
        <v>0</v>
      </c>
      <c r="AM8" s="5">
        <f t="shared" si="8"/>
        <v>0</v>
      </c>
      <c r="AN8" s="5">
        <f t="shared" si="8"/>
        <v>0</v>
      </c>
    </row>
    <row r="9" spans="1:40" x14ac:dyDescent="0.25">
      <c r="B9" s="3"/>
      <c r="F9" s="3"/>
      <c r="G9" s="11">
        <f t="shared" si="0"/>
        <v>1.2</v>
      </c>
      <c r="H9" s="18">
        <f>H10+$B$4*$B$2</f>
        <v>2</v>
      </c>
      <c r="I9" s="19">
        <f t="shared" ref="I9:U9" si="9">0.25*(I22+J23+I24+H23)</f>
        <v>2.0354233843232645</v>
      </c>
      <c r="J9" s="19">
        <f t="shared" si="9"/>
        <v>2.0890514164449869</v>
      </c>
      <c r="K9" s="19">
        <f t="shared" si="9"/>
        <v>2.1941476261599986</v>
      </c>
      <c r="L9" s="19">
        <f t="shared" si="9"/>
        <v>2.4357490049307087</v>
      </c>
      <c r="M9" s="19">
        <f t="shared" si="9"/>
        <v>3.0746770747356198</v>
      </c>
      <c r="N9" s="19">
        <f t="shared" si="9"/>
        <v>3.692298664071568</v>
      </c>
      <c r="O9" s="19">
        <f t="shared" si="9"/>
        <v>4.2174405430575188</v>
      </c>
      <c r="P9" s="19">
        <f t="shared" si="9"/>
        <v>4.6482314079908384</v>
      </c>
      <c r="Q9" s="19">
        <f t="shared" si="9"/>
        <v>4.9963793901862186</v>
      </c>
      <c r="R9" s="19">
        <f t="shared" si="9"/>
        <v>5.2761854985226133</v>
      </c>
      <c r="S9" s="19">
        <f t="shared" si="9"/>
        <v>5.5023948634839446</v>
      </c>
      <c r="T9" s="19">
        <f t="shared" si="9"/>
        <v>5.6894233595101245</v>
      </c>
      <c r="U9" s="19">
        <f t="shared" si="9"/>
        <v>5.8509701474080664</v>
      </c>
      <c r="V9" s="19">
        <f t="shared" si="3"/>
        <v>6</v>
      </c>
      <c r="W9" s="4">
        <v>7</v>
      </c>
      <c r="Y9" s="5" t="s">
        <v>10</v>
      </c>
      <c r="Z9" s="5">
        <f>H38</f>
        <v>10</v>
      </c>
      <c r="AA9" s="5">
        <f>I38</f>
        <v>10.177116921616323</v>
      </c>
      <c r="AB9" s="5">
        <f>J38</f>
        <v>10.445257082224934</v>
      </c>
      <c r="AC9" s="5">
        <f>K38</f>
        <v>10.970738130799992</v>
      </c>
      <c r="AD9" s="5">
        <f>L38</f>
        <v>12.178745024653542</v>
      </c>
      <c r="AE9" s="5">
        <f>M39</f>
        <v>6.6371163078312119</v>
      </c>
      <c r="AF9" s="5">
        <f>N40</f>
        <v>5.0084561265923666</v>
      </c>
      <c r="AG9" s="5">
        <f>O41</f>
        <v>3.9931586871215652</v>
      </c>
      <c r="AH9" s="5">
        <f>P42</f>
        <v>3.1416989407734621</v>
      </c>
      <c r="AI9" s="5">
        <f t="shared" ref="AI9:AN9" si="10">Q43</f>
        <v>2.1832323911911389</v>
      </c>
      <c r="AJ9" s="5">
        <f t="shared" si="10"/>
        <v>3.2800239014342507</v>
      </c>
      <c r="AK9" s="5">
        <f t="shared" si="10"/>
        <v>3.9307645589770561</v>
      </c>
      <c r="AL9" s="5">
        <f t="shared" si="10"/>
        <v>4.3713259855868687</v>
      </c>
      <c r="AM9" s="5">
        <f t="shared" si="10"/>
        <v>4.7077638260594679</v>
      </c>
      <c r="AN9" s="5">
        <f t="shared" si="10"/>
        <v>5</v>
      </c>
    </row>
    <row r="10" spans="1:40" x14ac:dyDescent="0.25">
      <c r="A10" s="1" t="s">
        <v>5</v>
      </c>
      <c r="B10" s="4">
        <v>15</v>
      </c>
      <c r="F10" s="3"/>
      <c r="G10" s="11">
        <f t="shared" si="0"/>
        <v>1</v>
      </c>
      <c r="H10" s="18">
        <v>0</v>
      </c>
      <c r="I10" s="19">
        <v>0</v>
      </c>
      <c r="J10" s="19">
        <v>0</v>
      </c>
      <c r="K10" s="19">
        <v>0</v>
      </c>
      <c r="L10" s="19">
        <v>0</v>
      </c>
      <c r="M10" s="19">
        <f t="shared" ref="M10:U10" si="11">0.25*(M23+N24+M25+L24)</f>
        <v>1.3274232615662425</v>
      </c>
      <c r="N10" s="19">
        <f t="shared" si="11"/>
        <v>2.2350159715293505</v>
      </c>
      <c r="O10" s="19">
        <f t="shared" si="11"/>
        <v>2.9186507351611177</v>
      </c>
      <c r="P10" s="19">
        <f t="shared" si="11"/>
        <v>3.4503974963130584</v>
      </c>
      <c r="Q10" s="19">
        <f t="shared" si="11"/>
        <v>3.8666858210260093</v>
      </c>
      <c r="R10" s="19">
        <f t="shared" si="11"/>
        <v>4.1928027593179982</v>
      </c>
      <c r="S10" s="19">
        <f t="shared" si="11"/>
        <v>4.4505115398341548</v>
      </c>
      <c r="T10" s="19">
        <f t="shared" si="11"/>
        <v>4.6594535643072952</v>
      </c>
      <c r="U10" s="19">
        <f t="shared" si="11"/>
        <v>4.8372781114370671</v>
      </c>
      <c r="V10" s="19">
        <f t="shared" si="3"/>
        <v>5</v>
      </c>
      <c r="W10" s="4">
        <v>6</v>
      </c>
      <c r="Y10" s="5" t="s">
        <v>11</v>
      </c>
      <c r="Z10" s="5">
        <f>H52</f>
        <v>0</v>
      </c>
      <c r="AA10" s="5">
        <f>I52</f>
        <v>0</v>
      </c>
      <c r="AB10" s="5">
        <f>J52</f>
        <v>0</v>
      </c>
      <c r="AC10" s="5">
        <f>K52</f>
        <v>0</v>
      </c>
      <c r="AD10" s="5">
        <f>L52</f>
        <v>-3.3185581539156059</v>
      </c>
      <c r="AE10" s="5">
        <f>M53</f>
        <v>-5.0084561265923666</v>
      </c>
      <c r="AF10" s="5">
        <f>N54</f>
        <v>-3.9931586871215652</v>
      </c>
      <c r="AG10" s="5">
        <f>O55</f>
        <v>-3.1416989407734621</v>
      </c>
      <c r="AH10" s="5">
        <f>P56</f>
        <v>-2.1832323911911389</v>
      </c>
      <c r="AI10" s="5">
        <f t="shared" ref="AI10:AN10" si="12">Q57</f>
        <v>0</v>
      </c>
      <c r="AJ10" s="5">
        <f t="shared" si="12"/>
        <v>0</v>
      </c>
      <c r="AK10" s="5">
        <f t="shared" si="12"/>
        <v>0</v>
      </c>
      <c r="AL10" s="5">
        <f t="shared" si="12"/>
        <v>0</v>
      </c>
      <c r="AM10" s="5">
        <f t="shared" si="12"/>
        <v>0</v>
      </c>
      <c r="AN10" s="5">
        <f t="shared" si="12"/>
        <v>0</v>
      </c>
    </row>
    <row r="11" spans="1:40" x14ac:dyDescent="0.25">
      <c r="A11" s="1" t="s">
        <v>6</v>
      </c>
      <c r="B11" s="4">
        <v>11</v>
      </c>
      <c r="F11" s="3"/>
      <c r="G11" s="11">
        <f t="shared" si="0"/>
        <v>0.8</v>
      </c>
      <c r="H11" s="20"/>
      <c r="I11" s="20"/>
      <c r="J11" s="20"/>
      <c r="K11" s="20"/>
      <c r="L11" s="20"/>
      <c r="M11" s="19">
        <v>0</v>
      </c>
      <c r="N11" s="19">
        <f t="shared" ref="N11:U11" si="13">0.25*(N24+O25+N26+M25)</f>
        <v>1.0016912253184733</v>
      </c>
      <c r="O11" s="19">
        <f t="shared" si="13"/>
        <v>1.7717489297445432</v>
      </c>
      <c r="P11" s="19">
        <f t="shared" si="13"/>
        <v>2.3680220210742684</v>
      </c>
      <c r="Q11" s="19">
        <f t="shared" si="13"/>
        <v>2.8271636382867635</v>
      </c>
      <c r="R11" s="19">
        <f t="shared" si="13"/>
        <v>3.1778281778892143</v>
      </c>
      <c r="S11" s="19">
        <f t="shared" si="13"/>
        <v>3.4473949722273822</v>
      </c>
      <c r="T11" s="19">
        <f t="shared" si="13"/>
        <v>3.660601246447837</v>
      </c>
      <c r="U11" s="19">
        <f t="shared" si="13"/>
        <v>3.838688734032905</v>
      </c>
      <c r="V11" s="19">
        <f t="shared" si="3"/>
        <v>4</v>
      </c>
      <c r="W11" s="4">
        <v>5</v>
      </c>
      <c r="Y11" s="5" t="s">
        <v>14</v>
      </c>
      <c r="Z11" s="5">
        <f t="shared" ref="Z11:AN11" si="14">((Z9)^2+(Z10)^2)^0.5</f>
        <v>10</v>
      </c>
      <c r="AA11" s="5">
        <f t="shared" si="14"/>
        <v>10.177116921616323</v>
      </c>
      <c r="AB11" s="5">
        <f t="shared" si="14"/>
        <v>10.445257082224934</v>
      </c>
      <c r="AC11" s="5">
        <f t="shared" si="14"/>
        <v>10.970738130799992</v>
      </c>
      <c r="AD11" s="5">
        <f t="shared" si="14"/>
        <v>12.622783314168201</v>
      </c>
      <c r="AE11" s="5">
        <f t="shared" si="14"/>
        <v>8.3148028031745671</v>
      </c>
      <c r="AF11" s="5">
        <f t="shared" si="14"/>
        <v>6.4054624401783071</v>
      </c>
      <c r="AG11" s="5">
        <f t="shared" si="14"/>
        <v>5.0809043028767542</v>
      </c>
      <c r="AH11" s="5">
        <f t="shared" si="14"/>
        <v>3.8258039558246151</v>
      </c>
      <c r="AI11" s="5">
        <f t="shared" si="14"/>
        <v>2.1832323911911389</v>
      </c>
      <c r="AJ11" s="5">
        <f t="shared" si="14"/>
        <v>3.2800239014342507</v>
      </c>
      <c r="AK11" s="5">
        <f t="shared" si="14"/>
        <v>3.9307645589770561</v>
      </c>
      <c r="AL11" s="5">
        <f t="shared" si="14"/>
        <v>4.3713259855868687</v>
      </c>
      <c r="AM11" s="5">
        <f t="shared" si="14"/>
        <v>4.7077638260594679</v>
      </c>
      <c r="AN11" s="5">
        <f t="shared" si="14"/>
        <v>5</v>
      </c>
    </row>
    <row r="12" spans="1:40" x14ac:dyDescent="0.25">
      <c r="A12" s="1" t="s">
        <v>7</v>
      </c>
      <c r="B12" s="4">
        <v>15</v>
      </c>
      <c r="F12" s="23"/>
      <c r="G12" s="11">
        <f t="shared" si="0"/>
        <v>0.60000000000000009</v>
      </c>
      <c r="H12" s="20"/>
      <c r="I12" s="20"/>
      <c r="J12" s="20"/>
      <c r="K12" s="20"/>
      <c r="L12" s="20"/>
      <c r="M12" s="20"/>
      <c r="N12" s="19">
        <v>0</v>
      </c>
      <c r="O12" s="19">
        <f t="shared" ref="O12:U12" si="15">0.25*(O25+P26+O27+N26)</f>
        <v>0.79863173742431304</v>
      </c>
      <c r="P12" s="19">
        <f t="shared" si="15"/>
        <v>1.4227780199527089</v>
      </c>
      <c r="Q12" s="19">
        <f t="shared" si="15"/>
        <v>1.8961185331575621</v>
      </c>
      <c r="R12" s="19">
        <f t="shared" si="15"/>
        <v>2.2439513417247152</v>
      </c>
      <c r="S12" s="19">
        <f t="shared" si="15"/>
        <v>2.5006389247383214</v>
      </c>
      <c r="T12" s="19">
        <f t="shared" si="15"/>
        <v>2.6968677152237666</v>
      </c>
      <c r="U12" s="19">
        <f t="shared" si="15"/>
        <v>2.8568755782467177</v>
      </c>
      <c r="V12" s="19">
        <f t="shared" si="3"/>
        <v>3</v>
      </c>
      <c r="W12" s="4">
        <v>4</v>
      </c>
      <c r="Y12" s="5" t="s">
        <v>15</v>
      </c>
      <c r="Z12" s="8">
        <f>B5</f>
        <v>101325</v>
      </c>
      <c r="AA12" s="8">
        <f t="shared" ref="AA12:AN12" si="16">(Z12+(Z11^2)/2)-(AA11^2)/2</f>
        <v>101323.21314558187</v>
      </c>
      <c r="AB12" s="8">
        <f t="shared" si="16"/>
        <v>101320.44830224311</v>
      </c>
      <c r="AC12" s="8">
        <f t="shared" si="16"/>
        <v>101314.8214524327</v>
      </c>
      <c r="AD12" s="8">
        <f t="shared" si="16"/>
        <v>101295.33267070178</v>
      </c>
      <c r="AE12" s="8">
        <f t="shared" si="16"/>
        <v>101340.43202717217</v>
      </c>
      <c r="AF12" s="8">
        <f t="shared" si="16"/>
        <v>101354.48502546373</v>
      </c>
      <c r="AG12" s="8">
        <f t="shared" si="16"/>
        <v>101362.09220573251</v>
      </c>
      <c r="AH12" s="8">
        <f t="shared" si="16"/>
        <v>101367.6816120458</v>
      </c>
      <c r="AI12" s="8">
        <f t="shared" si="16"/>
        <v>101372.61674816303</v>
      </c>
      <c r="AJ12" s="8">
        <f t="shared" si="16"/>
        <v>101369.62072160302</v>
      </c>
      <c r="AK12" s="8">
        <f t="shared" si="16"/>
        <v>101367.27454499094</v>
      </c>
      <c r="AL12" s="8">
        <f t="shared" si="16"/>
        <v>101365.44575456387</v>
      </c>
      <c r="AM12" s="8">
        <f t="shared" si="16"/>
        <v>101363.91847987902</v>
      </c>
      <c r="AN12" s="8">
        <f t="shared" si="16"/>
        <v>101362.5</v>
      </c>
    </row>
    <row r="13" spans="1:40" x14ac:dyDescent="0.25">
      <c r="A13" s="1" t="s">
        <v>8</v>
      </c>
      <c r="B13" s="4">
        <v>6</v>
      </c>
      <c r="F13" s="3"/>
      <c r="G13" s="11">
        <f t="shared" si="0"/>
        <v>0.4</v>
      </c>
      <c r="H13" s="20"/>
      <c r="I13" s="20"/>
      <c r="J13" s="20"/>
      <c r="K13" s="20"/>
      <c r="L13" s="20"/>
      <c r="M13" s="20"/>
      <c r="N13" s="20"/>
      <c r="O13" s="19">
        <v>0</v>
      </c>
      <c r="P13" s="19">
        <f t="shared" ref="P13:U13" si="17">0.25*(P26+Q27+P28+O27)</f>
        <v>0.62833978815469249</v>
      </c>
      <c r="Q13" s="19">
        <f t="shared" si="17"/>
        <v>1.090581132666061</v>
      </c>
      <c r="R13" s="19">
        <f t="shared" si="17"/>
        <v>1.4012197311137617</v>
      </c>
      <c r="S13" s="19">
        <f t="shared" si="17"/>
        <v>1.6143416697774211</v>
      </c>
      <c r="T13" s="19">
        <f t="shared" si="17"/>
        <v>1.7693551114621906</v>
      </c>
      <c r="U13" s="19">
        <f t="shared" si="17"/>
        <v>1.8919458637302005</v>
      </c>
      <c r="V13" s="19">
        <f t="shared" si="3"/>
        <v>2</v>
      </c>
      <c r="W13" s="4">
        <v>3</v>
      </c>
      <c r="Y13" s="5" t="s">
        <v>16</v>
      </c>
      <c r="Z13" s="5">
        <f t="shared" ref="Z13:AN13" si="18">(Z12-$B$5)/(($B$4^2)/2)</f>
        <v>0</v>
      </c>
      <c r="AA13" s="5">
        <f t="shared" si="18"/>
        <v>-3.5737088362511715E-2</v>
      </c>
      <c r="AB13" s="5">
        <f t="shared" si="18"/>
        <v>-9.103395513782743E-2</v>
      </c>
      <c r="AC13" s="5">
        <f t="shared" si="18"/>
        <v>-0.20357095134590053</v>
      </c>
      <c r="AD13" s="5">
        <f t="shared" si="18"/>
        <v>-0.59334658596431833</v>
      </c>
      <c r="AE13" s="5">
        <f t="shared" si="18"/>
        <v>0.30864054344332542</v>
      </c>
      <c r="AF13" s="5">
        <f t="shared" si="18"/>
        <v>0.58970050927455309</v>
      </c>
      <c r="AG13" s="5">
        <f t="shared" si="18"/>
        <v>0.74184411465015732</v>
      </c>
      <c r="AH13" s="5">
        <f t="shared" si="18"/>
        <v>0.85363224091590384</v>
      </c>
      <c r="AI13" s="5">
        <f t="shared" si="18"/>
        <v>0.95233496326050959</v>
      </c>
      <c r="AJ13" s="5">
        <f t="shared" si="18"/>
        <v>0.89241443206032267</v>
      </c>
      <c r="AK13" s="5">
        <f t="shared" si="18"/>
        <v>0.84549089981883296</v>
      </c>
      <c r="AL13" s="5">
        <f t="shared" si="18"/>
        <v>0.80891509127744943</v>
      </c>
      <c r="AM13" s="5">
        <f t="shared" si="18"/>
        <v>0.77836959758045854</v>
      </c>
      <c r="AN13" s="5">
        <f t="shared" si="18"/>
        <v>0.75</v>
      </c>
    </row>
    <row r="14" spans="1:40" x14ac:dyDescent="0.25">
      <c r="A14" s="2" t="s">
        <v>9</v>
      </c>
      <c r="B14" s="4">
        <v>0</v>
      </c>
      <c r="F14" s="3"/>
      <c r="G14" s="11">
        <f t="shared" si="0"/>
        <v>0.2</v>
      </c>
      <c r="H14" s="20"/>
      <c r="I14" s="20"/>
      <c r="J14" s="20"/>
      <c r="K14" s="20"/>
      <c r="L14" s="20"/>
      <c r="M14" s="20"/>
      <c r="N14" s="20"/>
      <c r="O14" s="20"/>
      <c r="P14" s="19">
        <v>0</v>
      </c>
      <c r="Q14" s="19">
        <f>0.25*(Q27+R28+Q29+P28)</f>
        <v>0.43664647823822778</v>
      </c>
      <c r="R14" s="19">
        <f>0.25*(R27+S28+R29+Q28)</f>
        <v>0.65600478028685016</v>
      </c>
      <c r="S14" s="19">
        <f>0.25*(S27+T28+S29+R28)</f>
        <v>0.78615291179541125</v>
      </c>
      <c r="T14" s="19">
        <f>0.25*(T27+U28+T29+S28)</f>
        <v>0.87426519711737383</v>
      </c>
      <c r="U14" s="19">
        <f>0.25*(U27+V28+U29+T28)</f>
        <v>0.94155276521189357</v>
      </c>
      <c r="V14" s="19">
        <f t="shared" si="3"/>
        <v>1</v>
      </c>
      <c r="W14" s="4">
        <v>2</v>
      </c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spans="1:40" x14ac:dyDescent="0.25">
      <c r="F15" s="3"/>
      <c r="G15" s="11">
        <v>0</v>
      </c>
      <c r="H15" s="20"/>
      <c r="I15" s="20"/>
      <c r="J15" s="20"/>
      <c r="K15" s="20"/>
      <c r="L15" s="20"/>
      <c r="M15" s="20"/>
      <c r="N15" s="20"/>
      <c r="O15" s="20"/>
      <c r="P15" s="20"/>
      <c r="Q15" s="21">
        <v>0</v>
      </c>
      <c r="R15" s="21">
        <v>0</v>
      </c>
      <c r="S15" s="21">
        <v>0</v>
      </c>
      <c r="T15" s="21">
        <v>0</v>
      </c>
      <c r="U15" s="21">
        <v>0</v>
      </c>
      <c r="V15" s="21">
        <v>0</v>
      </c>
      <c r="W15" s="4">
        <v>1</v>
      </c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spans="1:40" x14ac:dyDescent="0.25">
      <c r="F16" s="3"/>
      <c r="G16" s="10"/>
      <c r="H16" s="11">
        <v>0</v>
      </c>
      <c r="I16" s="11">
        <f t="shared" ref="I16:V16" si="19">H16+$B$2</f>
        <v>0.2</v>
      </c>
      <c r="J16" s="11">
        <f t="shared" si="19"/>
        <v>0.4</v>
      </c>
      <c r="K16" s="11">
        <f t="shared" si="19"/>
        <v>0.60000000000000009</v>
      </c>
      <c r="L16" s="11">
        <f t="shared" si="19"/>
        <v>0.8</v>
      </c>
      <c r="M16" s="11">
        <f t="shared" si="19"/>
        <v>1</v>
      </c>
      <c r="N16" s="11">
        <f t="shared" si="19"/>
        <v>1.2</v>
      </c>
      <c r="O16" s="11">
        <f t="shared" si="19"/>
        <v>1.4</v>
      </c>
      <c r="P16" s="11">
        <f t="shared" si="19"/>
        <v>1.5999999999999999</v>
      </c>
      <c r="Q16" s="11">
        <f t="shared" si="19"/>
        <v>1.7999999999999998</v>
      </c>
      <c r="R16" s="11">
        <f t="shared" si="19"/>
        <v>1.9999999999999998</v>
      </c>
      <c r="S16" s="11">
        <f t="shared" si="19"/>
        <v>2.1999999999999997</v>
      </c>
      <c r="T16" s="11">
        <f t="shared" si="19"/>
        <v>2.4</v>
      </c>
      <c r="U16" s="11">
        <f t="shared" si="19"/>
        <v>2.6</v>
      </c>
      <c r="V16" s="11">
        <f t="shared" si="19"/>
        <v>2.8000000000000003</v>
      </c>
      <c r="W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spans="6:40" x14ac:dyDescent="0.25">
      <c r="F17" s="3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spans="6:40" x14ac:dyDescent="0.25">
      <c r="F18" s="3"/>
      <c r="G18" s="10"/>
      <c r="H18" s="17">
        <v>1</v>
      </c>
      <c r="I18" s="17">
        <v>2</v>
      </c>
      <c r="J18" s="17">
        <v>3</v>
      </c>
      <c r="K18" s="17">
        <v>4</v>
      </c>
      <c r="L18" s="17">
        <v>5</v>
      </c>
      <c r="M18" s="17">
        <v>6</v>
      </c>
      <c r="N18" s="17">
        <v>7</v>
      </c>
      <c r="O18" s="17">
        <v>8</v>
      </c>
      <c r="P18" s="17">
        <v>9</v>
      </c>
      <c r="Q18" s="17">
        <v>10</v>
      </c>
      <c r="R18" s="17">
        <v>11</v>
      </c>
      <c r="S18" s="17">
        <v>12</v>
      </c>
      <c r="T18" s="17">
        <v>13</v>
      </c>
      <c r="U18" s="17">
        <v>14</v>
      </c>
      <c r="V18" s="17">
        <v>15</v>
      </c>
      <c r="W18" s="6"/>
      <c r="Y18" s="25">
        <v>0</v>
      </c>
      <c r="Z18" s="25">
        <v>1</v>
      </c>
      <c r="AA18" s="25">
        <v>2</v>
      </c>
      <c r="AB18" s="25">
        <v>3</v>
      </c>
      <c r="AC18" s="25">
        <v>4</v>
      </c>
      <c r="AD18" s="25">
        <v>5</v>
      </c>
      <c r="AE18" s="25">
        <v>6</v>
      </c>
      <c r="AF18" s="25">
        <v>7</v>
      </c>
      <c r="AG18" s="25">
        <v>8</v>
      </c>
      <c r="AH18" s="25">
        <v>9</v>
      </c>
      <c r="AI18" s="25">
        <v>10</v>
      </c>
      <c r="AJ18" s="25">
        <v>11</v>
      </c>
      <c r="AK18" s="25">
        <v>12</v>
      </c>
      <c r="AL18" s="25">
        <v>13</v>
      </c>
      <c r="AM18" s="25">
        <v>14</v>
      </c>
      <c r="AN18" s="25">
        <v>15</v>
      </c>
    </row>
    <row r="19" spans="6:40" x14ac:dyDescent="0.25">
      <c r="F19" s="3"/>
      <c r="G19" s="11">
        <f t="shared" ref="G19:G28" si="20">G20+B$2</f>
        <v>1.9999999999999998</v>
      </c>
      <c r="H19" s="12">
        <v>10</v>
      </c>
      <c r="I19" s="13">
        <v>10</v>
      </c>
      <c r="J19" s="13">
        <v>10</v>
      </c>
      <c r="K19" s="13">
        <v>10</v>
      </c>
      <c r="L19" s="13">
        <v>10</v>
      </c>
      <c r="M19" s="13">
        <v>10</v>
      </c>
      <c r="N19" s="13">
        <v>10</v>
      </c>
      <c r="O19" s="13">
        <v>10</v>
      </c>
      <c r="P19" s="13">
        <v>10</v>
      </c>
      <c r="Q19" s="13">
        <v>10</v>
      </c>
      <c r="R19" s="13">
        <v>10</v>
      </c>
      <c r="S19" s="13">
        <v>10</v>
      </c>
      <c r="T19" s="13">
        <v>10</v>
      </c>
      <c r="U19" s="13">
        <v>10</v>
      </c>
      <c r="V19" s="13">
        <v>10</v>
      </c>
      <c r="W19" s="6"/>
      <c r="Y19" s="26" t="s">
        <v>9</v>
      </c>
      <c r="Z19" s="5">
        <f t="shared" ref="Z19:AN19" si="21">H5</f>
        <v>10</v>
      </c>
      <c r="AA19" s="5">
        <f t="shared" si="21"/>
        <v>10</v>
      </c>
      <c r="AB19" s="5">
        <f t="shared" si="21"/>
        <v>10</v>
      </c>
      <c r="AC19" s="5">
        <f t="shared" si="21"/>
        <v>10</v>
      </c>
      <c r="AD19" s="5">
        <f t="shared" si="21"/>
        <v>10</v>
      </c>
      <c r="AE19" s="5">
        <f t="shared" si="21"/>
        <v>10</v>
      </c>
      <c r="AF19" s="5">
        <f t="shared" si="21"/>
        <v>10</v>
      </c>
      <c r="AG19" s="5">
        <f t="shared" si="21"/>
        <v>10</v>
      </c>
      <c r="AH19" s="5">
        <f t="shared" si="21"/>
        <v>10</v>
      </c>
      <c r="AI19" s="5">
        <f t="shared" si="21"/>
        <v>10</v>
      </c>
      <c r="AJ19" s="5">
        <f t="shared" si="21"/>
        <v>10</v>
      </c>
      <c r="AK19" s="5">
        <f t="shared" si="21"/>
        <v>10</v>
      </c>
      <c r="AL19" s="5">
        <f t="shared" si="21"/>
        <v>10</v>
      </c>
      <c r="AM19" s="5">
        <f t="shared" si="21"/>
        <v>10</v>
      </c>
      <c r="AN19" s="5">
        <f t="shared" si="21"/>
        <v>10</v>
      </c>
    </row>
    <row r="20" spans="6:40" x14ac:dyDescent="0.25">
      <c r="F20" s="3"/>
      <c r="G20" s="11">
        <f t="shared" si="20"/>
        <v>1.7999999999999998</v>
      </c>
      <c r="H20" s="12">
        <v>8</v>
      </c>
      <c r="I20" s="11">
        <v>8.0283446536118888</v>
      </c>
      <c r="J20" s="11">
        <v>8.0648681706752168</v>
      </c>
      <c r="K20" s="11">
        <v>8.1180730284595946</v>
      </c>
      <c r="L20" s="11">
        <v>8.1952172103898704</v>
      </c>
      <c r="M20" s="11">
        <v>8.296886994359987</v>
      </c>
      <c r="N20" s="11">
        <v>8.4102907540808509</v>
      </c>
      <c r="O20" s="11">
        <v>8.5221491515603631</v>
      </c>
      <c r="P20" s="11">
        <v>8.6241902045622538</v>
      </c>
      <c r="Q20" s="11">
        <v>8.7130064632652164</v>
      </c>
      <c r="R20" s="11">
        <v>8.7884288893720282</v>
      </c>
      <c r="S20" s="11">
        <v>8.8521085576106415</v>
      </c>
      <c r="T20" s="11">
        <v>8.9066038242224241</v>
      </c>
      <c r="U20" s="11">
        <v>8.9548688221783639</v>
      </c>
      <c r="V20" s="13">
        <v>9</v>
      </c>
      <c r="W20" s="6"/>
      <c r="Y20" s="5" t="s">
        <v>12</v>
      </c>
      <c r="Z20" s="5">
        <f t="shared" ref="Z20:AN20" si="22">H30</f>
        <v>0</v>
      </c>
      <c r="AA20" s="5">
        <f t="shared" si="22"/>
        <v>0.2</v>
      </c>
      <c r="AB20" s="5">
        <f t="shared" si="22"/>
        <v>0.4</v>
      </c>
      <c r="AC20" s="5">
        <f t="shared" si="22"/>
        <v>0.60000000000000009</v>
      </c>
      <c r="AD20" s="5">
        <f t="shared" si="22"/>
        <v>0.8</v>
      </c>
      <c r="AE20" s="5">
        <f t="shared" si="22"/>
        <v>1</v>
      </c>
      <c r="AF20" s="5">
        <f t="shared" si="22"/>
        <v>1.2</v>
      </c>
      <c r="AG20" s="5">
        <f t="shared" si="22"/>
        <v>1.4</v>
      </c>
      <c r="AH20" s="5">
        <f t="shared" si="22"/>
        <v>1.5999999999999999</v>
      </c>
      <c r="AI20" s="5">
        <f t="shared" si="22"/>
        <v>1.7999999999999998</v>
      </c>
      <c r="AJ20" s="5">
        <f t="shared" si="22"/>
        <v>1.9999999999999998</v>
      </c>
      <c r="AK20" s="5">
        <f t="shared" si="22"/>
        <v>2.1999999999999997</v>
      </c>
      <c r="AL20" s="5">
        <f t="shared" si="22"/>
        <v>2.4</v>
      </c>
      <c r="AM20" s="5">
        <f t="shared" si="22"/>
        <v>2.6</v>
      </c>
      <c r="AN20" s="5">
        <f t="shared" si="22"/>
        <v>2.8000000000000003</v>
      </c>
    </row>
    <row r="21" spans="6:40" x14ac:dyDescent="0.25">
      <c r="F21" s="3"/>
      <c r="G21" s="11">
        <f t="shared" si="20"/>
        <v>1.5999999999999999</v>
      </c>
      <c r="H21" s="12">
        <v>6</v>
      </c>
      <c r="I21" s="11">
        <v>6.0485104437723365</v>
      </c>
      <c r="J21" s="11">
        <v>6.1130550006293829</v>
      </c>
      <c r="K21" s="11">
        <v>6.2122067327732937</v>
      </c>
      <c r="L21" s="11">
        <v>6.3659088187399009</v>
      </c>
      <c r="M21" s="11">
        <v>6.5820400129692249</v>
      </c>
      <c r="N21" s="11">
        <v>6.8221268704030518</v>
      </c>
      <c r="O21" s="11">
        <v>7.0541156475983513</v>
      </c>
      <c r="P21" s="11">
        <v>7.2616052034234357</v>
      </c>
      <c r="Q21" s="11">
        <v>7.4394067591265802</v>
      </c>
      <c r="R21" s="11">
        <v>7.5886005366122555</v>
      </c>
      <c r="S21" s="11">
        <v>7.7134015168481191</v>
      </c>
      <c r="T21" s="11">
        <v>7.819437917100692</v>
      </c>
      <c r="U21" s="11">
        <v>7.9128714644910314</v>
      </c>
      <c r="V21" s="13">
        <v>8</v>
      </c>
      <c r="W21" s="6"/>
      <c r="Y21" s="5" t="s">
        <v>13</v>
      </c>
      <c r="Z21" s="5">
        <f t="shared" ref="Z21:AN21" si="23">$G$19</f>
        <v>1.9999999999999998</v>
      </c>
      <c r="AA21" s="5">
        <f t="shared" si="23"/>
        <v>1.9999999999999998</v>
      </c>
      <c r="AB21" s="5">
        <f t="shared" si="23"/>
        <v>1.9999999999999998</v>
      </c>
      <c r="AC21" s="5">
        <f t="shared" si="23"/>
        <v>1.9999999999999998</v>
      </c>
      <c r="AD21" s="5">
        <f t="shared" si="23"/>
        <v>1.9999999999999998</v>
      </c>
      <c r="AE21" s="5">
        <f t="shared" si="23"/>
        <v>1.9999999999999998</v>
      </c>
      <c r="AF21" s="5">
        <f t="shared" si="23"/>
        <v>1.9999999999999998</v>
      </c>
      <c r="AG21" s="5">
        <f t="shared" si="23"/>
        <v>1.9999999999999998</v>
      </c>
      <c r="AH21" s="5">
        <f t="shared" si="23"/>
        <v>1.9999999999999998</v>
      </c>
      <c r="AI21" s="5">
        <f t="shared" si="23"/>
        <v>1.9999999999999998</v>
      </c>
      <c r="AJ21" s="5">
        <f t="shared" si="23"/>
        <v>1.9999999999999998</v>
      </c>
      <c r="AK21" s="5">
        <f t="shared" si="23"/>
        <v>1.9999999999999998</v>
      </c>
      <c r="AL21" s="5">
        <f t="shared" si="23"/>
        <v>1.9999999999999998</v>
      </c>
      <c r="AM21" s="5">
        <f t="shared" si="23"/>
        <v>1.9999999999999998</v>
      </c>
      <c r="AN21" s="5">
        <f t="shared" si="23"/>
        <v>1.9999999999999998</v>
      </c>
    </row>
    <row r="22" spans="6:40" x14ac:dyDescent="0.25">
      <c r="F22" s="3"/>
      <c r="G22" s="11">
        <f t="shared" si="20"/>
        <v>1.4</v>
      </c>
      <c r="H22" s="12">
        <v>4</v>
      </c>
      <c r="I22" s="11">
        <v>4.0526421208480716</v>
      </c>
      <c r="J22" s="11">
        <v>4.1266346552966846</v>
      </c>
      <c r="K22" s="11">
        <v>4.2517900832642983</v>
      </c>
      <c r="L22" s="11">
        <v>4.4741713188272172</v>
      </c>
      <c r="M22" s="11">
        <v>4.8432373683739609</v>
      </c>
      <c r="N22" s="11">
        <v>5.2420610669637835</v>
      </c>
      <c r="O22" s="11">
        <v>5.6105813650065528</v>
      </c>
      <c r="P22" s="11">
        <v>5.9287082024065594</v>
      </c>
      <c r="Q22" s="11">
        <v>6.1944148332054123</v>
      </c>
      <c r="R22" s="11">
        <v>6.4131649811022928</v>
      </c>
      <c r="S22" s="11">
        <v>6.5934590560688875</v>
      </c>
      <c r="T22" s="11">
        <v>6.7448748628411934</v>
      </c>
      <c r="U22" s="11">
        <v>6.8771791186850724</v>
      </c>
      <c r="V22" s="13">
        <v>7</v>
      </c>
      <c r="W22" s="6"/>
      <c r="Y22" s="5" t="s">
        <v>10</v>
      </c>
      <c r="Z22" s="5">
        <f t="shared" ref="Z22:AN22" si="24">H34</f>
        <v>10</v>
      </c>
      <c r="AA22" s="5">
        <f t="shared" si="24"/>
        <v>9.8787238905691588</v>
      </c>
      <c r="AB22" s="5">
        <f t="shared" si="24"/>
        <v>9.7173624984265423</v>
      </c>
      <c r="AC22" s="5">
        <f t="shared" si="24"/>
        <v>9.4694831680667644</v>
      </c>
      <c r="AD22" s="5">
        <f t="shared" si="24"/>
        <v>9.0852279531502464</v>
      </c>
      <c r="AE22" s="5">
        <f t="shared" si="24"/>
        <v>8.5448999675769368</v>
      </c>
      <c r="AF22" s="5">
        <f t="shared" si="24"/>
        <v>7.9446828239923706</v>
      </c>
      <c r="AG22" s="5">
        <f t="shared" si="24"/>
        <v>7.3647108810041217</v>
      </c>
      <c r="AH22" s="5">
        <f t="shared" si="24"/>
        <v>6.8459869914414107</v>
      </c>
      <c r="AI22" s="5">
        <f t="shared" si="24"/>
        <v>6.4014831021835494</v>
      </c>
      <c r="AJ22" s="5">
        <f t="shared" si="24"/>
        <v>6.0284986584693607</v>
      </c>
      <c r="AK22" s="5">
        <f t="shared" si="24"/>
        <v>5.7164962078797021</v>
      </c>
      <c r="AL22" s="5">
        <f t="shared" si="24"/>
        <v>5.4514052072482695</v>
      </c>
      <c r="AM22" s="5">
        <f t="shared" si="24"/>
        <v>5.2178213387724215</v>
      </c>
      <c r="AN22" s="5">
        <f t="shared" si="24"/>
        <v>5</v>
      </c>
    </row>
    <row r="23" spans="6:40" x14ac:dyDescent="0.25">
      <c r="F23" s="3"/>
      <c r="G23" s="11">
        <f t="shared" si="20"/>
        <v>1.2</v>
      </c>
      <c r="H23" s="12">
        <v>2</v>
      </c>
      <c r="I23" s="11">
        <v>2.0354233843232645</v>
      </c>
      <c r="J23" s="11">
        <v>2.0890514164449869</v>
      </c>
      <c r="K23" s="11">
        <v>2.1941476261599986</v>
      </c>
      <c r="L23" s="11">
        <v>2.4357490049307087</v>
      </c>
      <c r="M23" s="11">
        <v>3.0746770747356198</v>
      </c>
      <c r="N23" s="11">
        <v>3.692298664071568</v>
      </c>
      <c r="O23" s="11">
        <v>4.2174405430575188</v>
      </c>
      <c r="P23" s="11">
        <v>4.6482314079908384</v>
      </c>
      <c r="Q23" s="11">
        <v>4.9963793901862186</v>
      </c>
      <c r="R23" s="11">
        <v>5.2761854985226133</v>
      </c>
      <c r="S23" s="11">
        <v>5.5023948634839446</v>
      </c>
      <c r="T23" s="11">
        <v>5.6894233595101245</v>
      </c>
      <c r="U23" s="11">
        <v>5.8509701474080664</v>
      </c>
      <c r="V23" s="13">
        <v>6</v>
      </c>
      <c r="W23" s="6"/>
      <c r="Y23" s="5" t="s">
        <v>11</v>
      </c>
      <c r="Z23" s="5">
        <f t="shared" ref="Z23:AN23" si="25">H47</f>
        <v>0</v>
      </c>
      <c r="AA23" s="5">
        <f t="shared" si="25"/>
        <v>0</v>
      </c>
      <c r="AB23" s="5">
        <f t="shared" si="25"/>
        <v>0</v>
      </c>
      <c r="AC23" s="5">
        <f t="shared" si="25"/>
        <v>0</v>
      </c>
      <c r="AD23" s="5">
        <f t="shared" si="25"/>
        <v>0</v>
      </c>
      <c r="AE23" s="5">
        <f t="shared" si="25"/>
        <v>0</v>
      </c>
      <c r="AF23" s="5">
        <f t="shared" si="25"/>
        <v>0</v>
      </c>
      <c r="AG23" s="5">
        <f t="shared" si="25"/>
        <v>0</v>
      </c>
      <c r="AH23" s="5">
        <f t="shared" si="25"/>
        <v>0</v>
      </c>
      <c r="AI23" s="5">
        <f t="shared" si="25"/>
        <v>0</v>
      </c>
      <c r="AJ23" s="5">
        <f t="shared" si="25"/>
        <v>0</v>
      </c>
      <c r="AK23" s="5">
        <f t="shared" si="25"/>
        <v>0</v>
      </c>
      <c r="AL23" s="5">
        <f t="shared" si="25"/>
        <v>0</v>
      </c>
      <c r="AM23" s="5">
        <f t="shared" si="25"/>
        <v>0</v>
      </c>
      <c r="AN23" s="5">
        <f t="shared" si="25"/>
        <v>0</v>
      </c>
    </row>
    <row r="24" spans="6:40" x14ac:dyDescent="0.25">
      <c r="F24" s="3"/>
      <c r="G24" s="11">
        <f t="shared" si="20"/>
        <v>1</v>
      </c>
      <c r="H24" s="12">
        <v>0</v>
      </c>
      <c r="I24" s="13">
        <v>0</v>
      </c>
      <c r="J24" s="13">
        <v>0</v>
      </c>
      <c r="K24" s="13">
        <v>0</v>
      </c>
      <c r="L24" s="13">
        <v>0</v>
      </c>
      <c r="M24" s="11">
        <v>1.3274232615662425</v>
      </c>
      <c r="N24" s="11">
        <v>2.2350159715293505</v>
      </c>
      <c r="O24" s="11">
        <v>2.9186507351611177</v>
      </c>
      <c r="P24" s="11">
        <v>3.4503974963130584</v>
      </c>
      <c r="Q24" s="11">
        <v>3.8666858210260093</v>
      </c>
      <c r="R24" s="11">
        <v>4.1928027593179982</v>
      </c>
      <c r="S24" s="11">
        <v>4.4505115398341548</v>
      </c>
      <c r="T24" s="11">
        <v>4.6594535643072952</v>
      </c>
      <c r="U24" s="11">
        <v>4.8372781114370671</v>
      </c>
      <c r="V24" s="13">
        <v>5</v>
      </c>
      <c r="W24" s="6"/>
      <c r="Y24" s="5" t="s">
        <v>14</v>
      </c>
      <c r="Z24" s="5">
        <f t="shared" ref="Z24:AN24" si="26">((Z22)^2+(Z23)^2)^0.5</f>
        <v>10</v>
      </c>
      <c r="AA24" s="5">
        <f t="shared" si="26"/>
        <v>9.8787238905691588</v>
      </c>
      <c r="AB24" s="5">
        <f t="shared" si="26"/>
        <v>9.7173624984265423</v>
      </c>
      <c r="AC24" s="5">
        <f t="shared" si="26"/>
        <v>9.4694831680667644</v>
      </c>
      <c r="AD24" s="5">
        <f t="shared" si="26"/>
        <v>9.0852279531502464</v>
      </c>
      <c r="AE24" s="5">
        <f t="shared" si="26"/>
        <v>8.5448999675769368</v>
      </c>
      <c r="AF24" s="5">
        <f t="shared" si="26"/>
        <v>7.9446828239923706</v>
      </c>
      <c r="AG24" s="5">
        <f t="shared" si="26"/>
        <v>7.3647108810041217</v>
      </c>
      <c r="AH24" s="5">
        <f t="shared" si="26"/>
        <v>6.8459869914414107</v>
      </c>
      <c r="AI24" s="5">
        <f t="shared" si="26"/>
        <v>6.4014831021835494</v>
      </c>
      <c r="AJ24" s="5">
        <f t="shared" si="26"/>
        <v>6.0284986584693607</v>
      </c>
      <c r="AK24" s="5">
        <f t="shared" si="26"/>
        <v>5.7164962078797021</v>
      </c>
      <c r="AL24" s="5">
        <f t="shared" si="26"/>
        <v>5.4514052072482695</v>
      </c>
      <c r="AM24" s="5">
        <f t="shared" si="26"/>
        <v>5.2178213387724215</v>
      </c>
      <c r="AN24" s="5">
        <f t="shared" si="26"/>
        <v>5</v>
      </c>
    </row>
    <row r="25" spans="6:40" x14ac:dyDescent="0.25">
      <c r="F25" s="3"/>
      <c r="G25" s="11">
        <f t="shared" si="20"/>
        <v>0.8</v>
      </c>
      <c r="H25" s="10"/>
      <c r="I25" s="10"/>
      <c r="J25" s="10"/>
      <c r="K25" s="10"/>
      <c r="L25" s="10"/>
      <c r="M25" s="13">
        <v>0</v>
      </c>
      <c r="N25" s="11">
        <v>1.0016912253184733</v>
      </c>
      <c r="O25" s="11">
        <v>1.7717489297445432</v>
      </c>
      <c r="P25" s="11">
        <v>2.3680220210742684</v>
      </c>
      <c r="Q25" s="11">
        <v>2.8271636382867635</v>
      </c>
      <c r="R25" s="11">
        <v>3.1778281778892143</v>
      </c>
      <c r="S25" s="11">
        <v>3.4473949722273822</v>
      </c>
      <c r="T25" s="11">
        <v>3.660601246447837</v>
      </c>
      <c r="U25" s="11">
        <v>3.838688734032905</v>
      </c>
      <c r="V25" s="13">
        <v>4</v>
      </c>
      <c r="W25" s="6"/>
      <c r="Y25" s="5" t="s">
        <v>15</v>
      </c>
      <c r="Z25" s="8">
        <f>B5</f>
        <v>101325</v>
      </c>
      <c r="AA25" s="8">
        <f t="shared" ref="AA25:AN25" si="27">(Z25+(Z24^2)/2)-(AA24^2)/2</f>
        <v>101326.20540714695</v>
      </c>
      <c r="AB25" s="8">
        <f t="shared" si="27"/>
        <v>101327.78643303709</v>
      </c>
      <c r="AC25" s="8">
        <f t="shared" si="27"/>
        <v>101330.16444426485</v>
      </c>
      <c r="AD25" s="8">
        <f t="shared" si="27"/>
        <v>101333.72931651965</v>
      </c>
      <c r="AE25" s="8">
        <f t="shared" si="27"/>
        <v>101338.49234227205</v>
      </c>
      <c r="AF25" s="8">
        <f t="shared" si="27"/>
        <v>101343.44100741309</v>
      </c>
      <c r="AG25" s="8">
        <f t="shared" si="27"/>
        <v>101347.88051681961</v>
      </c>
      <c r="AH25" s="8">
        <f t="shared" si="27"/>
        <v>101351.56623105651</v>
      </c>
      <c r="AI25" s="8">
        <f t="shared" si="27"/>
        <v>101354.51050704623</v>
      </c>
      <c r="AJ25" s="8">
        <f t="shared" si="27"/>
        <v>101356.82860196242</v>
      </c>
      <c r="AK25" s="8">
        <f t="shared" si="27"/>
        <v>101358.66083555266</v>
      </c>
      <c r="AL25" s="8">
        <f t="shared" si="27"/>
        <v>101360.14109063319</v>
      </c>
      <c r="AM25" s="8">
        <f t="shared" si="27"/>
        <v>101361.38717023832</v>
      </c>
      <c r="AN25" s="8">
        <f t="shared" si="27"/>
        <v>101362.5</v>
      </c>
    </row>
    <row r="26" spans="6:40" x14ac:dyDescent="0.25">
      <c r="F26" s="3"/>
      <c r="G26" s="11">
        <f t="shared" si="20"/>
        <v>0.60000000000000009</v>
      </c>
      <c r="H26" s="10"/>
      <c r="I26" s="10"/>
      <c r="J26" s="10"/>
      <c r="K26" s="10"/>
      <c r="L26" s="10"/>
      <c r="M26" s="10"/>
      <c r="N26" s="13">
        <v>0</v>
      </c>
      <c r="O26" s="11">
        <v>0.79863173742431304</v>
      </c>
      <c r="P26" s="11">
        <v>1.4227780199527089</v>
      </c>
      <c r="Q26" s="11">
        <v>1.8961185331575621</v>
      </c>
      <c r="R26" s="11">
        <v>2.2439513417247152</v>
      </c>
      <c r="S26" s="11">
        <v>2.5006389247383214</v>
      </c>
      <c r="T26" s="11">
        <v>2.6968677152237666</v>
      </c>
      <c r="U26" s="11">
        <v>2.8568755782467177</v>
      </c>
      <c r="V26" s="13">
        <v>3</v>
      </c>
      <c r="W26" s="6"/>
      <c r="Y26" s="5" t="s">
        <v>16</v>
      </c>
      <c r="Z26" s="5">
        <f t="shared" ref="Z26:AN26" si="28">(Z25-$B$5)/(($B$4^2)/2)</f>
        <v>0</v>
      </c>
      <c r="AA26" s="5">
        <f t="shared" si="28"/>
        <v>2.410814293893054E-2</v>
      </c>
      <c r="AB26" s="5">
        <f t="shared" si="28"/>
        <v>5.5728660741879141E-2</v>
      </c>
      <c r="AC26" s="5">
        <f t="shared" si="28"/>
        <v>0.10328888529707911</v>
      </c>
      <c r="AD26" s="5">
        <f t="shared" si="28"/>
        <v>0.17458633039292182</v>
      </c>
      <c r="AE26" s="5">
        <f t="shared" si="28"/>
        <v>0.26984684544091581</v>
      </c>
      <c r="AF26" s="5">
        <f t="shared" si="28"/>
        <v>0.36882014826172965</v>
      </c>
      <c r="AG26" s="5">
        <f t="shared" si="28"/>
        <v>0.4576103363922448</v>
      </c>
      <c r="AH26" s="5">
        <f t="shared" si="28"/>
        <v>0.53132462113018841</v>
      </c>
      <c r="AI26" s="5">
        <f t="shared" si="28"/>
        <v>0.59021014092460977</v>
      </c>
      <c r="AJ26" s="5">
        <f t="shared" si="28"/>
        <v>0.63657203924842176</v>
      </c>
      <c r="AK26" s="5">
        <f t="shared" si="28"/>
        <v>0.67321671105310088</v>
      </c>
      <c r="AL26" s="5">
        <f t="shared" si="28"/>
        <v>0.70282181266375121</v>
      </c>
      <c r="AM26" s="5">
        <f t="shared" si="28"/>
        <v>0.72774340476637012</v>
      </c>
      <c r="AN26" s="5">
        <f t="shared" si="28"/>
        <v>0.75</v>
      </c>
    </row>
    <row r="27" spans="6:40" x14ac:dyDescent="0.25">
      <c r="F27" s="3"/>
      <c r="G27" s="11">
        <f t="shared" si="20"/>
        <v>0.4</v>
      </c>
      <c r="H27" s="10"/>
      <c r="I27" s="10"/>
      <c r="J27" s="10"/>
      <c r="K27" s="10"/>
      <c r="L27" s="10"/>
      <c r="M27" s="10"/>
      <c r="N27" s="10"/>
      <c r="O27" s="13">
        <v>0</v>
      </c>
      <c r="P27" s="11">
        <v>0.62833978815469249</v>
      </c>
      <c r="Q27" s="11">
        <v>1.090581132666061</v>
      </c>
      <c r="R27" s="11">
        <v>1.4012197311137617</v>
      </c>
      <c r="S27" s="11">
        <v>1.6143416697774211</v>
      </c>
      <c r="T27" s="11">
        <v>1.7693551114621906</v>
      </c>
      <c r="U27" s="11">
        <v>1.8919458637302005</v>
      </c>
      <c r="V27" s="13">
        <v>2</v>
      </c>
      <c r="W27" s="6"/>
    </row>
    <row r="28" spans="6:40" x14ac:dyDescent="0.25">
      <c r="F28" s="3"/>
      <c r="G28" s="11">
        <f t="shared" si="20"/>
        <v>0.2</v>
      </c>
      <c r="H28" s="10"/>
      <c r="I28" s="10"/>
      <c r="J28" s="10"/>
      <c r="K28" s="10"/>
      <c r="L28" s="10"/>
      <c r="M28" s="10"/>
      <c r="N28" s="10"/>
      <c r="O28" s="10"/>
      <c r="P28" s="13">
        <v>0</v>
      </c>
      <c r="Q28" s="11">
        <v>0.43664647823822778</v>
      </c>
      <c r="R28" s="11">
        <v>0.65600478028685016</v>
      </c>
      <c r="S28" s="11">
        <v>0.78615291179541125</v>
      </c>
      <c r="T28" s="11">
        <v>0.87426519711737383</v>
      </c>
      <c r="U28" s="11">
        <v>0.94155276521189357</v>
      </c>
      <c r="V28" s="13">
        <v>1</v>
      </c>
      <c r="W28" s="6"/>
    </row>
    <row r="29" spans="6:40" x14ac:dyDescent="0.25">
      <c r="F29" s="3"/>
      <c r="G29" s="11">
        <v>0</v>
      </c>
      <c r="H29" s="10"/>
      <c r="I29" s="10"/>
      <c r="J29" s="10"/>
      <c r="K29" s="10"/>
      <c r="L29" s="10"/>
      <c r="M29" s="10"/>
      <c r="N29" s="10"/>
      <c r="O29" s="10"/>
      <c r="P29" s="10"/>
      <c r="Q29" s="32">
        <v>0</v>
      </c>
      <c r="R29" s="32">
        <v>0</v>
      </c>
      <c r="S29" s="32">
        <v>0</v>
      </c>
      <c r="T29" s="32">
        <v>0</v>
      </c>
      <c r="U29" s="32">
        <v>0</v>
      </c>
      <c r="V29" s="13">
        <v>0</v>
      </c>
      <c r="W29" s="6"/>
    </row>
    <row r="30" spans="6:40" x14ac:dyDescent="0.25">
      <c r="F30" s="3"/>
      <c r="G30" s="10"/>
      <c r="H30" s="11">
        <v>0</v>
      </c>
      <c r="I30" s="11">
        <f t="shared" ref="I30:V30" si="29">H30+$B$2</f>
        <v>0.2</v>
      </c>
      <c r="J30" s="11">
        <f t="shared" si="29"/>
        <v>0.4</v>
      </c>
      <c r="K30" s="11">
        <f t="shared" si="29"/>
        <v>0.60000000000000009</v>
      </c>
      <c r="L30" s="11">
        <f t="shared" si="29"/>
        <v>0.8</v>
      </c>
      <c r="M30" s="11">
        <f t="shared" si="29"/>
        <v>1</v>
      </c>
      <c r="N30" s="11">
        <f t="shared" si="29"/>
        <v>1.2</v>
      </c>
      <c r="O30" s="11">
        <f t="shared" si="29"/>
        <v>1.4</v>
      </c>
      <c r="P30" s="11">
        <f t="shared" si="29"/>
        <v>1.5999999999999999</v>
      </c>
      <c r="Q30" s="11">
        <f t="shared" si="29"/>
        <v>1.7999999999999998</v>
      </c>
      <c r="R30" s="11">
        <f t="shared" si="29"/>
        <v>1.9999999999999998</v>
      </c>
      <c r="S30" s="11">
        <f t="shared" si="29"/>
        <v>2.1999999999999997</v>
      </c>
      <c r="T30" s="11">
        <f t="shared" si="29"/>
        <v>2.4</v>
      </c>
      <c r="U30" s="11">
        <f t="shared" si="29"/>
        <v>2.6</v>
      </c>
      <c r="V30" s="11">
        <f t="shared" si="29"/>
        <v>2.8000000000000003</v>
      </c>
      <c r="W30" s="6"/>
    </row>
    <row r="31" spans="6:40" x14ac:dyDescent="0.25">
      <c r="F31" s="3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7"/>
    </row>
    <row r="32" spans="6:40" x14ac:dyDescent="0.25">
      <c r="F32" s="3"/>
      <c r="G32" s="10"/>
      <c r="H32" s="17">
        <v>1</v>
      </c>
      <c r="I32" s="17">
        <v>2</v>
      </c>
      <c r="J32" s="17">
        <v>3</v>
      </c>
      <c r="K32" s="17">
        <v>4</v>
      </c>
      <c r="L32" s="17">
        <v>5</v>
      </c>
      <c r="M32" s="17">
        <v>6</v>
      </c>
      <c r="N32" s="17">
        <v>7</v>
      </c>
      <c r="O32" s="17">
        <v>8</v>
      </c>
      <c r="P32" s="17">
        <v>9</v>
      </c>
      <c r="Q32" s="17">
        <v>10</v>
      </c>
      <c r="R32" s="17">
        <v>11</v>
      </c>
      <c r="S32" s="17">
        <v>12</v>
      </c>
      <c r="T32" s="17">
        <v>13</v>
      </c>
      <c r="U32" s="17">
        <v>14</v>
      </c>
      <c r="V32" s="17">
        <v>15</v>
      </c>
      <c r="W32" s="6"/>
    </row>
    <row r="33" spans="6:23" x14ac:dyDescent="0.25">
      <c r="F33" s="3" t="s">
        <v>10</v>
      </c>
      <c r="G33" s="11">
        <f t="shared" ref="G33:G42" si="30">G34+B$2</f>
        <v>1.9999999999999998</v>
      </c>
      <c r="H33" s="18">
        <f t="shared" ref="H33:V33" si="31">(H5-H6)/$B$2</f>
        <v>10</v>
      </c>
      <c r="I33" s="18">
        <f t="shared" si="31"/>
        <v>9.8582767319405562</v>
      </c>
      <c r="J33" s="18">
        <f t="shared" si="31"/>
        <v>9.6756591466239161</v>
      </c>
      <c r="K33" s="18">
        <f t="shared" si="31"/>
        <v>9.4096348577020272</v>
      </c>
      <c r="L33" s="18">
        <f t="shared" si="31"/>
        <v>9.0239139480506481</v>
      </c>
      <c r="M33" s="18">
        <f t="shared" si="31"/>
        <v>8.515565028200065</v>
      </c>
      <c r="N33" s="18">
        <f t="shared" si="31"/>
        <v>7.9485462295957454</v>
      </c>
      <c r="O33" s="18">
        <f t="shared" si="31"/>
        <v>7.3892542421981844</v>
      </c>
      <c r="P33" s="18">
        <f t="shared" si="31"/>
        <v>6.8790489771887309</v>
      </c>
      <c r="Q33" s="18">
        <f t="shared" si="31"/>
        <v>6.4349676836739178</v>
      </c>
      <c r="R33" s="18">
        <f t="shared" si="31"/>
        <v>6.0578555531398592</v>
      </c>
      <c r="S33" s="18">
        <f t="shared" si="31"/>
        <v>5.7394572119467924</v>
      </c>
      <c r="T33" s="18">
        <f t="shared" si="31"/>
        <v>5.4669808788878793</v>
      </c>
      <c r="U33" s="18">
        <f t="shared" si="31"/>
        <v>5.2256558891081806</v>
      </c>
      <c r="V33" s="19">
        <f t="shared" si="31"/>
        <v>5</v>
      </c>
      <c r="W33" s="6"/>
    </row>
    <row r="34" spans="6:23" x14ac:dyDescent="0.25">
      <c r="F34" s="3"/>
      <c r="G34" s="11">
        <f t="shared" si="30"/>
        <v>1.7999999999999998</v>
      </c>
      <c r="H34" s="18">
        <f t="shared" ref="H34:V34" si="32">(H5-H7)/(2*$B$2)</f>
        <v>10</v>
      </c>
      <c r="I34" s="19">
        <f t="shared" si="32"/>
        <v>9.8787238905691588</v>
      </c>
      <c r="J34" s="19">
        <f t="shared" si="32"/>
        <v>9.7173624984265423</v>
      </c>
      <c r="K34" s="19">
        <f t="shared" si="32"/>
        <v>9.4694831680667644</v>
      </c>
      <c r="L34" s="19">
        <f t="shared" si="32"/>
        <v>9.0852279531502464</v>
      </c>
      <c r="M34" s="19">
        <f t="shared" si="32"/>
        <v>8.5448999675769368</v>
      </c>
      <c r="N34" s="19">
        <f t="shared" si="32"/>
        <v>7.9446828239923706</v>
      </c>
      <c r="O34" s="19">
        <f t="shared" si="32"/>
        <v>7.3647108810041217</v>
      </c>
      <c r="P34" s="19">
        <f t="shared" si="32"/>
        <v>6.8459869914414107</v>
      </c>
      <c r="Q34" s="19">
        <f t="shared" si="32"/>
        <v>6.4014831021835494</v>
      </c>
      <c r="R34" s="19">
        <f t="shared" si="32"/>
        <v>6.0284986584693607</v>
      </c>
      <c r="S34" s="19">
        <f t="shared" si="32"/>
        <v>5.7164962078797021</v>
      </c>
      <c r="T34" s="19">
        <f t="shared" si="32"/>
        <v>5.4514052072482695</v>
      </c>
      <c r="U34" s="19">
        <f t="shared" si="32"/>
        <v>5.2178213387724215</v>
      </c>
      <c r="V34" s="19">
        <f t="shared" si="32"/>
        <v>5</v>
      </c>
      <c r="W34" s="6"/>
    </row>
    <row r="35" spans="6:23" x14ac:dyDescent="0.25">
      <c r="F35" s="3"/>
      <c r="G35" s="11">
        <f t="shared" si="30"/>
        <v>1.5999999999999999</v>
      </c>
      <c r="H35" s="18">
        <f t="shared" ref="H35:V35" si="33">(H6-H8)/(2*$B$2)</f>
        <v>10</v>
      </c>
      <c r="I35" s="19">
        <f t="shared" si="33"/>
        <v>9.9392563319095419</v>
      </c>
      <c r="J35" s="19">
        <f t="shared" si="33"/>
        <v>9.84558378844633</v>
      </c>
      <c r="K35" s="19">
        <f t="shared" si="33"/>
        <v>9.6657073629882397</v>
      </c>
      <c r="L35" s="19">
        <f t="shared" si="33"/>
        <v>9.302614728906633</v>
      </c>
      <c r="M35" s="19">
        <f t="shared" si="33"/>
        <v>8.6341240649650643</v>
      </c>
      <c r="N35" s="19">
        <f t="shared" si="33"/>
        <v>7.9205742177926686</v>
      </c>
      <c r="O35" s="19">
        <f t="shared" si="33"/>
        <v>7.2789194663845258</v>
      </c>
      <c r="P35" s="19">
        <f t="shared" si="33"/>
        <v>6.7387050053892361</v>
      </c>
      <c r="Q35" s="19">
        <f t="shared" si="33"/>
        <v>6.2964790751495103</v>
      </c>
      <c r="R35" s="19">
        <f t="shared" si="33"/>
        <v>5.9381597706743383</v>
      </c>
      <c r="S35" s="19">
        <f t="shared" si="33"/>
        <v>5.6466237538543851</v>
      </c>
      <c r="T35" s="19">
        <f t="shared" si="33"/>
        <v>5.4043224034530768</v>
      </c>
      <c r="U35" s="19">
        <f t="shared" si="33"/>
        <v>5.1942242587332288</v>
      </c>
      <c r="V35" s="19">
        <f t="shared" si="33"/>
        <v>5</v>
      </c>
      <c r="W35" s="6"/>
    </row>
    <row r="36" spans="6:23" x14ac:dyDescent="0.25">
      <c r="F36" s="3"/>
      <c r="G36" s="11">
        <f t="shared" si="30"/>
        <v>1.4</v>
      </c>
      <c r="H36" s="18">
        <f t="shared" ref="H36:V36" si="34">(H7-H9)/(2*$B$2)</f>
        <v>10</v>
      </c>
      <c r="I36" s="19">
        <f t="shared" si="34"/>
        <v>10.032717648622679</v>
      </c>
      <c r="J36" s="19">
        <f t="shared" si="34"/>
        <v>10.060008960460989</v>
      </c>
      <c r="K36" s="19">
        <f t="shared" si="34"/>
        <v>10.045147766533237</v>
      </c>
      <c r="L36" s="19">
        <f t="shared" si="34"/>
        <v>9.8253995345229796</v>
      </c>
      <c r="M36" s="19">
        <f t="shared" si="34"/>
        <v>8.7684073455840128</v>
      </c>
      <c r="N36" s="19">
        <f t="shared" si="34"/>
        <v>7.8245705158287091</v>
      </c>
      <c r="O36" s="19">
        <f t="shared" si="34"/>
        <v>7.0916877613520812</v>
      </c>
      <c r="P36" s="19">
        <f t="shared" si="34"/>
        <v>6.5334344885814932</v>
      </c>
      <c r="Q36" s="19">
        <f t="shared" si="34"/>
        <v>6.1075684223509041</v>
      </c>
      <c r="R36" s="19">
        <f t="shared" si="34"/>
        <v>5.7810375952241051</v>
      </c>
      <c r="S36" s="19">
        <f t="shared" si="34"/>
        <v>5.5275166334104364</v>
      </c>
      <c r="T36" s="19">
        <f t="shared" si="34"/>
        <v>5.3250363939764185</v>
      </c>
      <c r="U36" s="19">
        <f t="shared" si="34"/>
        <v>5.1547532927074124</v>
      </c>
      <c r="V36" s="19">
        <f t="shared" si="34"/>
        <v>5</v>
      </c>
      <c r="W36" s="6"/>
    </row>
    <row r="37" spans="6:23" x14ac:dyDescent="0.25">
      <c r="F37" s="3"/>
      <c r="G37" s="11">
        <f t="shared" si="30"/>
        <v>1.2</v>
      </c>
      <c r="H37" s="18">
        <f t="shared" ref="H37:V37" si="35">(H8-H10)/(2*$B$2)</f>
        <v>10</v>
      </c>
      <c r="I37" s="19">
        <f t="shared" si="35"/>
        <v>10.131605302120178</v>
      </c>
      <c r="J37" s="19">
        <f t="shared" si="35"/>
        <v>10.316586638241711</v>
      </c>
      <c r="K37" s="19">
        <f t="shared" si="35"/>
        <v>10.629475208160745</v>
      </c>
      <c r="L37" s="21">
        <f t="shared" si="35"/>
        <v>11.185428297068043</v>
      </c>
      <c r="M37" s="19">
        <f t="shared" si="35"/>
        <v>8.7895352670192963</v>
      </c>
      <c r="N37" s="19">
        <f t="shared" si="35"/>
        <v>7.5176127385860818</v>
      </c>
      <c r="O37" s="19">
        <f t="shared" si="35"/>
        <v>6.729826574613587</v>
      </c>
      <c r="P37" s="19">
        <f t="shared" si="35"/>
        <v>6.1957767652337523</v>
      </c>
      <c r="Q37" s="19">
        <f t="shared" si="35"/>
        <v>5.819322530448507</v>
      </c>
      <c r="R37" s="19">
        <f t="shared" si="35"/>
        <v>5.5509055544607362</v>
      </c>
      <c r="S37" s="19">
        <f t="shared" si="35"/>
        <v>5.3573687905868317</v>
      </c>
      <c r="T37" s="19">
        <f t="shared" si="35"/>
        <v>5.2135532463347456</v>
      </c>
      <c r="U37" s="19">
        <f t="shared" si="35"/>
        <v>5.0997525181200132</v>
      </c>
      <c r="V37" s="19">
        <f t="shared" si="35"/>
        <v>5</v>
      </c>
      <c r="W37" s="6"/>
    </row>
    <row r="38" spans="6:23" x14ac:dyDescent="0.25">
      <c r="F38" s="3"/>
      <c r="G38" s="11">
        <f t="shared" si="30"/>
        <v>1</v>
      </c>
      <c r="H38" s="18">
        <f>(H9-H10)/($B$2)</f>
        <v>10</v>
      </c>
      <c r="I38" s="18">
        <f>(I9-I10)/($B$2)</f>
        <v>10.177116921616323</v>
      </c>
      <c r="J38" s="18">
        <f>(J9-J10)/($B$2)</f>
        <v>10.445257082224934</v>
      </c>
      <c r="K38" s="27">
        <f>(K9-K10)/($B$2)</f>
        <v>10.970738130799992</v>
      </c>
      <c r="L38" s="19">
        <f>(L9-L10)/($B$2)</f>
        <v>12.178745024653542</v>
      </c>
      <c r="M38" s="18">
        <f t="shared" ref="M38:V38" si="36">(M9-M11)/(2*$B$2)</f>
        <v>7.6866926868390495</v>
      </c>
      <c r="N38" s="19">
        <f t="shared" si="36"/>
        <v>6.7265185968827366</v>
      </c>
      <c r="O38" s="19">
        <f t="shared" si="36"/>
        <v>6.1142290332824389</v>
      </c>
      <c r="P38" s="19">
        <f t="shared" si="36"/>
        <v>5.7005234672914247</v>
      </c>
      <c r="Q38" s="19">
        <f t="shared" si="36"/>
        <v>5.4230393797486371</v>
      </c>
      <c r="R38" s="19">
        <f t="shared" si="36"/>
        <v>5.2458933015834974</v>
      </c>
      <c r="S38" s="19">
        <f t="shared" si="36"/>
        <v>5.1374997281414059</v>
      </c>
      <c r="T38" s="19">
        <f t="shared" si="36"/>
        <v>5.0720552826557181</v>
      </c>
      <c r="U38" s="19">
        <f t="shared" si="36"/>
        <v>5.0307035334379036</v>
      </c>
      <c r="V38" s="19">
        <f t="shared" si="36"/>
        <v>5</v>
      </c>
      <c r="W38" s="6"/>
    </row>
    <row r="39" spans="6:23" x14ac:dyDescent="0.25">
      <c r="F39" s="3"/>
      <c r="G39" s="11">
        <f t="shared" si="30"/>
        <v>0.8</v>
      </c>
      <c r="H39" s="20"/>
      <c r="I39" s="20"/>
      <c r="J39" s="20"/>
      <c r="K39" s="20"/>
      <c r="L39" s="28"/>
      <c r="M39" s="19">
        <f>(M10-M11)/($B$2)</f>
        <v>6.6371163078312119</v>
      </c>
      <c r="N39" s="19">
        <f t="shared" ref="N39:V39" si="37">(N10-N12)/(2*$B$2)</f>
        <v>5.587539928823376</v>
      </c>
      <c r="O39" s="19">
        <f t="shared" si="37"/>
        <v>5.3000474943420111</v>
      </c>
      <c r="P39" s="19">
        <f t="shared" si="37"/>
        <v>5.069048690900873</v>
      </c>
      <c r="Q39" s="19">
        <f t="shared" si="37"/>
        <v>4.9264182196711177</v>
      </c>
      <c r="R39" s="19">
        <f t="shared" si="37"/>
        <v>4.8721285439832069</v>
      </c>
      <c r="S39" s="19">
        <f t="shared" si="37"/>
        <v>4.8746815377395833</v>
      </c>
      <c r="T39" s="19">
        <f t="shared" si="37"/>
        <v>4.9064646227088211</v>
      </c>
      <c r="U39" s="19">
        <f t="shared" si="37"/>
        <v>4.9510063329758731</v>
      </c>
      <c r="V39" s="19">
        <f t="shared" si="37"/>
        <v>5</v>
      </c>
      <c r="W39" s="6"/>
    </row>
    <row r="40" spans="6:23" x14ac:dyDescent="0.25">
      <c r="F40" s="3"/>
      <c r="G40" s="11">
        <f t="shared" si="30"/>
        <v>0.60000000000000009</v>
      </c>
      <c r="H40" s="20"/>
      <c r="I40" s="20"/>
      <c r="J40" s="20"/>
      <c r="K40" s="20"/>
      <c r="L40" s="20"/>
      <c r="M40" s="28"/>
      <c r="N40" s="19">
        <f>(N11-N12)/($B$2)</f>
        <v>5.0084561265923666</v>
      </c>
      <c r="O40" s="19">
        <f t="shared" ref="O40:V40" si="38">(O11-O13)/(2*$B$2)</f>
        <v>4.4293723243613581</v>
      </c>
      <c r="P40" s="19">
        <f t="shared" si="38"/>
        <v>4.3492055822989393</v>
      </c>
      <c r="Q40" s="19">
        <f t="shared" si="38"/>
        <v>4.3414562640517556</v>
      </c>
      <c r="R40" s="19">
        <f t="shared" si="38"/>
        <v>4.4415211169386311</v>
      </c>
      <c r="S40" s="19">
        <f t="shared" si="38"/>
        <v>4.5826332561249021</v>
      </c>
      <c r="T40" s="19">
        <f t="shared" si="38"/>
        <v>4.7281153374641161</v>
      </c>
      <c r="U40" s="19">
        <f t="shared" si="38"/>
        <v>4.8668571757567607</v>
      </c>
      <c r="V40" s="19">
        <f t="shared" si="38"/>
        <v>5</v>
      </c>
      <c r="W40" s="6"/>
    </row>
    <row r="41" spans="6:23" x14ac:dyDescent="0.25">
      <c r="F41" s="3"/>
      <c r="G41" s="11">
        <f t="shared" si="30"/>
        <v>0.4</v>
      </c>
      <c r="H41" s="20"/>
      <c r="I41" s="20"/>
      <c r="J41" s="20"/>
      <c r="K41" s="20"/>
      <c r="L41" s="20"/>
      <c r="M41" s="20"/>
      <c r="N41" s="28"/>
      <c r="O41" s="19">
        <f>(O12-O13)/($B$2)</f>
        <v>3.9931586871215652</v>
      </c>
      <c r="P41" s="19">
        <f t="shared" ref="P41:V41" si="39">(P12-P14)/(2*$B$2)</f>
        <v>3.5569450498817723</v>
      </c>
      <c r="Q41" s="19">
        <f t="shared" si="39"/>
        <v>3.6486801372983355</v>
      </c>
      <c r="R41" s="19">
        <f t="shared" si="39"/>
        <v>3.9698664035946627</v>
      </c>
      <c r="S41" s="19">
        <f t="shared" si="39"/>
        <v>4.2862150323572754</v>
      </c>
      <c r="T41" s="19">
        <f t="shared" si="39"/>
        <v>4.5565062952659812</v>
      </c>
      <c r="U41" s="19">
        <f t="shared" si="39"/>
        <v>4.7883070325870598</v>
      </c>
      <c r="V41" s="19">
        <f t="shared" si="39"/>
        <v>5</v>
      </c>
      <c r="W41" s="6"/>
    </row>
    <row r="42" spans="6:23" x14ac:dyDescent="0.25">
      <c r="F42" s="3"/>
      <c r="G42" s="11">
        <f t="shared" si="30"/>
        <v>0.2</v>
      </c>
      <c r="H42" s="20"/>
      <c r="I42" s="20"/>
      <c r="J42" s="20"/>
      <c r="K42" s="20"/>
      <c r="L42" s="20"/>
      <c r="M42" s="20"/>
      <c r="N42" s="20"/>
      <c r="O42" s="28"/>
      <c r="P42" s="19">
        <f>(P13-P14)/($B$2)</f>
        <v>3.1416989407734621</v>
      </c>
      <c r="Q42" s="19">
        <f t="shared" ref="Q42:V42" si="40">(Q13-Q15)/(2*$B$2)</f>
        <v>2.7264528316651524</v>
      </c>
      <c r="R42" s="19">
        <f t="shared" si="40"/>
        <v>3.5030493277844044</v>
      </c>
      <c r="S42" s="19">
        <f t="shared" si="40"/>
        <v>4.0358541744435525</v>
      </c>
      <c r="T42" s="19">
        <f t="shared" si="40"/>
        <v>4.4233877786554761</v>
      </c>
      <c r="U42" s="19">
        <f t="shared" si="40"/>
        <v>4.7298646593255009</v>
      </c>
      <c r="V42" s="19">
        <f t="shared" si="40"/>
        <v>5</v>
      </c>
      <c r="W42" s="6"/>
    </row>
    <row r="43" spans="6:23" x14ac:dyDescent="0.25">
      <c r="F43" s="3"/>
      <c r="G43" s="11">
        <v>0</v>
      </c>
      <c r="H43" s="20"/>
      <c r="I43" s="20"/>
      <c r="J43" s="20"/>
      <c r="K43" s="20"/>
      <c r="L43" s="20"/>
      <c r="M43" s="20"/>
      <c r="N43" s="20"/>
      <c r="O43" s="20"/>
      <c r="P43" s="28"/>
      <c r="Q43" s="19">
        <f t="shared" ref="Q43:V43" si="41">(Q14-Q15)/($B$2)</f>
        <v>2.1832323911911389</v>
      </c>
      <c r="R43" s="18">
        <f t="shared" si="41"/>
        <v>3.2800239014342507</v>
      </c>
      <c r="S43" s="18">
        <f t="shared" si="41"/>
        <v>3.9307645589770561</v>
      </c>
      <c r="T43" s="18">
        <f t="shared" si="41"/>
        <v>4.3713259855868687</v>
      </c>
      <c r="U43" s="18">
        <f t="shared" si="41"/>
        <v>4.7077638260594679</v>
      </c>
      <c r="V43" s="19">
        <f t="shared" si="41"/>
        <v>5</v>
      </c>
      <c r="W43" s="6"/>
    </row>
    <row r="44" spans="6:23" x14ac:dyDescent="0.25">
      <c r="F44" s="3"/>
      <c r="G44" s="10"/>
      <c r="H44" s="19">
        <v>0</v>
      </c>
      <c r="I44" s="19">
        <f t="shared" ref="I44:V44" si="42">H44+$B$2</f>
        <v>0.2</v>
      </c>
      <c r="J44" s="19">
        <f t="shared" si="42"/>
        <v>0.4</v>
      </c>
      <c r="K44" s="19">
        <f t="shared" si="42"/>
        <v>0.60000000000000009</v>
      </c>
      <c r="L44" s="19">
        <f t="shared" si="42"/>
        <v>0.8</v>
      </c>
      <c r="M44" s="19">
        <f t="shared" si="42"/>
        <v>1</v>
      </c>
      <c r="N44" s="19">
        <f t="shared" si="42"/>
        <v>1.2</v>
      </c>
      <c r="O44" s="19">
        <f t="shared" si="42"/>
        <v>1.4</v>
      </c>
      <c r="P44" s="19">
        <f t="shared" si="42"/>
        <v>1.5999999999999999</v>
      </c>
      <c r="Q44" s="19">
        <f t="shared" si="42"/>
        <v>1.7999999999999998</v>
      </c>
      <c r="R44" s="19">
        <f t="shared" si="42"/>
        <v>1.9999999999999998</v>
      </c>
      <c r="S44" s="19">
        <f t="shared" si="42"/>
        <v>2.1999999999999997</v>
      </c>
      <c r="T44" s="19">
        <f t="shared" si="42"/>
        <v>2.4</v>
      </c>
      <c r="U44" s="19">
        <f t="shared" si="42"/>
        <v>2.6</v>
      </c>
      <c r="V44" s="19">
        <f t="shared" si="42"/>
        <v>2.8000000000000003</v>
      </c>
      <c r="W44" s="6"/>
    </row>
    <row r="45" spans="6:23" x14ac:dyDescent="0.25">
      <c r="F45" s="3"/>
      <c r="G45" s="24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</row>
    <row r="46" spans="6:23" x14ac:dyDescent="0.25">
      <c r="F46" s="3" t="s">
        <v>11</v>
      </c>
      <c r="G46" s="10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 x14ac:dyDescent="0.25">
      <c r="F47" s="3"/>
      <c r="G47" s="11">
        <f t="shared" ref="G47:G56" si="43">G48+B$2</f>
        <v>1.9999999999999998</v>
      </c>
      <c r="H47" s="18">
        <f t="shared" ref="H47:H52" si="44">(H5-I5)/$B$2</f>
        <v>0</v>
      </c>
      <c r="I47" s="18">
        <f t="shared" ref="I47:T47" si="45">(I5-K5)/$B$2</f>
        <v>0</v>
      </c>
      <c r="J47" s="18">
        <f t="shared" si="45"/>
        <v>0</v>
      </c>
      <c r="K47" s="18">
        <f t="shared" si="45"/>
        <v>0</v>
      </c>
      <c r="L47" s="18">
        <f t="shared" si="45"/>
        <v>0</v>
      </c>
      <c r="M47" s="18">
        <f t="shared" si="45"/>
        <v>0</v>
      </c>
      <c r="N47" s="18">
        <f t="shared" si="45"/>
        <v>0</v>
      </c>
      <c r="O47" s="18">
        <f t="shared" si="45"/>
        <v>0</v>
      </c>
      <c r="P47" s="18">
        <f t="shared" si="45"/>
        <v>0</v>
      </c>
      <c r="Q47" s="18">
        <f t="shared" si="45"/>
        <v>0</v>
      </c>
      <c r="R47" s="18">
        <f t="shared" si="45"/>
        <v>0</v>
      </c>
      <c r="S47" s="18">
        <f t="shared" si="45"/>
        <v>0</v>
      </c>
      <c r="T47" s="18">
        <f t="shared" si="45"/>
        <v>0</v>
      </c>
      <c r="U47" s="18">
        <f>(U5-V5)/$B$2</f>
        <v>0</v>
      </c>
      <c r="V47" s="18">
        <f>(V5-U5)/$B$2</f>
        <v>0</v>
      </c>
    </row>
    <row r="48" spans="6:23" x14ac:dyDescent="0.25">
      <c r="F48" s="3"/>
      <c r="G48" s="11">
        <f t="shared" si="43"/>
        <v>1.7999999999999998</v>
      </c>
      <c r="H48" s="18">
        <f t="shared" si="44"/>
        <v>-0.1417232680594438</v>
      </c>
      <c r="I48" s="19">
        <f t="shared" ref="I48:U48" si="46">(H6-J6)/(2*$B$2)</f>
        <v>-0.16217042668804194</v>
      </c>
      <c r="J48" s="19">
        <f t="shared" si="46"/>
        <v>-0.22432093711926449</v>
      </c>
      <c r="K48" s="19">
        <f t="shared" si="46"/>
        <v>-0.32587259928663403</v>
      </c>
      <c r="L48" s="19">
        <f t="shared" si="46"/>
        <v>-0.44703491475098112</v>
      </c>
      <c r="M48" s="19">
        <f t="shared" si="46"/>
        <v>-0.53768385922745132</v>
      </c>
      <c r="N48" s="19">
        <f t="shared" si="46"/>
        <v>-0.56315539300094031</v>
      </c>
      <c r="O48" s="19">
        <f t="shared" si="46"/>
        <v>-0.53474862620350727</v>
      </c>
      <c r="P48" s="19">
        <f t="shared" si="46"/>
        <v>-0.47714327926213329</v>
      </c>
      <c r="Q48" s="19">
        <f t="shared" si="46"/>
        <v>-0.41059671202443582</v>
      </c>
      <c r="R48" s="19">
        <f t="shared" si="46"/>
        <v>-0.34775523586356272</v>
      </c>
      <c r="S48" s="19">
        <f t="shared" si="46"/>
        <v>-0.29543733712598996</v>
      </c>
      <c r="T48" s="19">
        <f t="shared" si="46"/>
        <v>-0.2569006614193059</v>
      </c>
      <c r="U48" s="19">
        <f t="shared" si="46"/>
        <v>-0.23349043944393966</v>
      </c>
      <c r="V48" s="19">
        <f t="shared" ref="V48:V57" si="47">(U6-V6)/($B$2)</f>
        <v>-0.22565588910818057</v>
      </c>
    </row>
    <row r="49" spans="6:22" x14ac:dyDescent="0.25">
      <c r="F49" s="3"/>
      <c r="G49" s="11">
        <f t="shared" si="43"/>
        <v>1.5999999999999999</v>
      </c>
      <c r="H49" s="18">
        <f t="shared" si="44"/>
        <v>-0.24255221886168243</v>
      </c>
      <c r="I49" s="19">
        <f t="shared" ref="I49:U49" si="48">(H7-J7)/(2*$B$2)</f>
        <v>-0.28263750157345724</v>
      </c>
      <c r="J49" s="19">
        <f t="shared" si="48"/>
        <v>-0.40924072250239307</v>
      </c>
      <c r="K49" s="19">
        <f t="shared" si="48"/>
        <v>-0.63213454527629498</v>
      </c>
      <c r="L49" s="19">
        <f t="shared" si="48"/>
        <v>-0.92458320048982801</v>
      </c>
      <c r="M49" s="19">
        <f t="shared" si="48"/>
        <v>-1.1405451291578772</v>
      </c>
      <c r="N49" s="19">
        <f t="shared" si="48"/>
        <v>-1.180189086572816</v>
      </c>
      <c r="O49" s="19">
        <f t="shared" si="48"/>
        <v>-1.0986958325509599</v>
      </c>
      <c r="P49" s="19">
        <f t="shared" si="48"/>
        <v>-0.96322777882057231</v>
      </c>
      <c r="Q49" s="19">
        <f t="shared" si="48"/>
        <v>-0.81748833297204948</v>
      </c>
      <c r="R49" s="19">
        <f t="shared" si="48"/>
        <v>-0.68498689430384729</v>
      </c>
      <c r="S49" s="19">
        <f t="shared" si="48"/>
        <v>-0.57709345122109124</v>
      </c>
      <c r="T49" s="19">
        <f t="shared" si="48"/>
        <v>-0.49867486910728065</v>
      </c>
      <c r="U49" s="19">
        <f t="shared" si="48"/>
        <v>-0.45140520724826994</v>
      </c>
      <c r="V49" s="19">
        <f t="shared" si="47"/>
        <v>-0.43564267754484298</v>
      </c>
    </row>
    <row r="50" spans="6:22" x14ac:dyDescent="0.25">
      <c r="F50" s="3"/>
      <c r="G50" s="11">
        <f t="shared" si="43"/>
        <v>1.4</v>
      </c>
      <c r="H50" s="18">
        <f t="shared" si="44"/>
        <v>-0.26321060424035814</v>
      </c>
      <c r="I50" s="19">
        <f t="shared" ref="I50:U50" si="49">(H8-J8)/(2*$B$2)</f>
        <v>-0.31658663824171152</v>
      </c>
      <c r="J50" s="19">
        <f t="shared" si="49"/>
        <v>-0.49786990604056669</v>
      </c>
      <c r="K50" s="19">
        <f t="shared" si="49"/>
        <v>-0.86884165882633146</v>
      </c>
      <c r="L50" s="19">
        <f t="shared" si="49"/>
        <v>-1.4786182127741565</v>
      </c>
      <c r="M50" s="19">
        <f t="shared" si="49"/>
        <v>-1.9197243703414157</v>
      </c>
      <c r="N50" s="19">
        <f t="shared" si="49"/>
        <v>-1.9183599915814797</v>
      </c>
      <c r="O50" s="19">
        <f t="shared" si="49"/>
        <v>-1.7166178386069397</v>
      </c>
      <c r="P50" s="19">
        <f t="shared" si="49"/>
        <v>-1.4595836704971488</v>
      </c>
      <c r="Q50" s="19">
        <f t="shared" si="49"/>
        <v>-1.2111419467393336</v>
      </c>
      <c r="R50" s="19">
        <f t="shared" si="49"/>
        <v>-0.99761055715868796</v>
      </c>
      <c r="S50" s="19">
        <f t="shared" si="49"/>
        <v>-0.82927470434725148</v>
      </c>
      <c r="T50" s="19">
        <f t="shared" si="49"/>
        <v>-0.70930015654046219</v>
      </c>
      <c r="U50" s="19">
        <f t="shared" si="49"/>
        <v>-0.63781284289701645</v>
      </c>
      <c r="V50" s="19">
        <f t="shared" si="47"/>
        <v>-0.61410440657463816</v>
      </c>
    </row>
    <row r="51" spans="6:22" x14ac:dyDescent="0.25">
      <c r="F51" s="3"/>
      <c r="G51" s="11">
        <f t="shared" si="43"/>
        <v>1.2</v>
      </c>
      <c r="H51" s="18">
        <f t="shared" si="44"/>
        <v>-0.17711692161632264</v>
      </c>
      <c r="I51" s="19">
        <f t="shared" ref="I51:U51" si="50">(H9-J9)/(2*$B$2)</f>
        <v>-0.22262854111246733</v>
      </c>
      <c r="J51" s="19">
        <f t="shared" si="50"/>
        <v>-0.39681060459183515</v>
      </c>
      <c r="K51" s="19">
        <f t="shared" si="50"/>
        <v>-0.86674397121430435</v>
      </c>
      <c r="L51" s="19">
        <f t="shared" si="50"/>
        <v>-2.201323621439053</v>
      </c>
      <c r="M51" s="19">
        <f t="shared" si="50"/>
        <v>-3.1413741478521482</v>
      </c>
      <c r="N51" s="19">
        <f t="shared" si="50"/>
        <v>-2.8569086708047475</v>
      </c>
      <c r="O51" s="19">
        <f t="shared" si="50"/>
        <v>-2.3898318597981758</v>
      </c>
      <c r="P51" s="19">
        <f t="shared" si="50"/>
        <v>-1.9473471178217494</v>
      </c>
      <c r="Q51" s="19">
        <f t="shared" si="50"/>
        <v>-1.5698852263294372</v>
      </c>
      <c r="R51" s="19">
        <f t="shared" si="50"/>
        <v>-1.265038683244315</v>
      </c>
      <c r="S51" s="19">
        <f t="shared" si="50"/>
        <v>-1.0330946524687779</v>
      </c>
      <c r="T51" s="19">
        <f t="shared" si="50"/>
        <v>-0.87143820981030462</v>
      </c>
      <c r="U51" s="19">
        <f t="shared" si="50"/>
        <v>-0.77644160122468886</v>
      </c>
      <c r="V51" s="19">
        <f t="shared" si="47"/>
        <v>-0.74514926295966788</v>
      </c>
    </row>
    <row r="52" spans="6:22" x14ac:dyDescent="0.25">
      <c r="F52" s="3"/>
      <c r="G52" s="11">
        <f t="shared" si="43"/>
        <v>1</v>
      </c>
      <c r="H52" s="18">
        <f t="shared" si="44"/>
        <v>0</v>
      </c>
      <c r="I52" s="18">
        <f>(I10-J10)/$B$2</f>
        <v>0</v>
      </c>
      <c r="J52" s="18">
        <f>(J10-K10)/$B$2</f>
        <v>0</v>
      </c>
      <c r="K52" s="18">
        <f>(K10-L10)/$B$2</f>
        <v>0</v>
      </c>
      <c r="L52" s="18">
        <f>(L10-M10)/(2*$B$2)</f>
        <v>-3.3185581539156059</v>
      </c>
      <c r="M52" s="19">
        <f t="shared" ref="M52:U52" si="51">(L10-N10)/(2*$B$2)</f>
        <v>-5.587539928823376</v>
      </c>
      <c r="N52" s="19">
        <f t="shared" si="51"/>
        <v>-3.9780686839871882</v>
      </c>
      <c r="O52" s="19">
        <f t="shared" si="51"/>
        <v>-3.0384538119592697</v>
      </c>
      <c r="P52" s="19">
        <f t="shared" si="51"/>
        <v>-2.3700877146622288</v>
      </c>
      <c r="Q52" s="19">
        <f t="shared" si="51"/>
        <v>-1.8560131575123495</v>
      </c>
      <c r="R52" s="19">
        <f t="shared" si="51"/>
        <v>-1.4595642970203637</v>
      </c>
      <c r="S52" s="19">
        <f t="shared" si="51"/>
        <v>-1.1666270124732425</v>
      </c>
      <c r="T52" s="19">
        <f t="shared" si="51"/>
        <v>-0.9669164290072807</v>
      </c>
      <c r="U52" s="19">
        <f t="shared" si="51"/>
        <v>-0.85136608923176205</v>
      </c>
      <c r="V52" s="19">
        <f t="shared" si="47"/>
        <v>-0.81360944281466452</v>
      </c>
    </row>
    <row r="53" spans="6:22" x14ac:dyDescent="0.25">
      <c r="F53" s="3"/>
      <c r="G53" s="11">
        <f t="shared" si="43"/>
        <v>0.8</v>
      </c>
      <c r="H53" s="20"/>
      <c r="I53" s="20"/>
      <c r="J53" s="20"/>
      <c r="K53" s="20"/>
      <c r="L53" s="28"/>
      <c r="M53" s="19">
        <f>(M11-N11)/($B$2)</f>
        <v>-5.0084561265923666</v>
      </c>
      <c r="N53" s="19">
        <f t="shared" ref="N53:U53" si="52">(M11-O11)/(2*$B$2)</f>
        <v>-4.4293723243613581</v>
      </c>
      <c r="O53" s="19">
        <f t="shared" si="52"/>
        <v>-3.4158269893894877</v>
      </c>
      <c r="P53" s="19">
        <f t="shared" si="52"/>
        <v>-2.6385367713555508</v>
      </c>
      <c r="Q53" s="19">
        <f t="shared" si="52"/>
        <v>-2.0245153920373649</v>
      </c>
      <c r="R53" s="19">
        <f t="shared" si="52"/>
        <v>-1.5505783348515467</v>
      </c>
      <c r="S53" s="19">
        <f t="shared" si="52"/>
        <v>-1.2069326713965567</v>
      </c>
      <c r="T53" s="19">
        <f t="shared" si="52"/>
        <v>-0.97823440451380694</v>
      </c>
      <c r="U53" s="19">
        <f t="shared" si="52"/>
        <v>-0.84849688388040745</v>
      </c>
      <c r="V53" s="19">
        <f t="shared" si="47"/>
        <v>-0.80655632983547498</v>
      </c>
    </row>
    <row r="54" spans="6:22" x14ac:dyDescent="0.25">
      <c r="F54" s="3"/>
      <c r="G54" s="11">
        <f t="shared" si="43"/>
        <v>0.60000000000000009</v>
      </c>
      <c r="H54" s="20"/>
      <c r="I54" s="20"/>
      <c r="J54" s="20"/>
      <c r="K54" s="20"/>
      <c r="L54" s="20"/>
      <c r="M54" s="28"/>
      <c r="N54" s="19">
        <f>(N12-O12)/($B$2)</f>
        <v>-3.9931586871215652</v>
      </c>
      <c r="O54" s="19">
        <f t="shared" ref="O54:U54" si="53">(N12-P12)/(2*$B$2)</f>
        <v>-3.5569450498817723</v>
      </c>
      <c r="P54" s="19">
        <f t="shared" si="53"/>
        <v>-2.7437169893331226</v>
      </c>
      <c r="Q54" s="19">
        <f t="shared" si="53"/>
        <v>-2.0529333044300158</v>
      </c>
      <c r="R54" s="19">
        <f t="shared" si="53"/>
        <v>-1.5113009789518983</v>
      </c>
      <c r="S54" s="19">
        <f t="shared" si="53"/>
        <v>-1.1322909337476283</v>
      </c>
      <c r="T54" s="19">
        <f t="shared" si="53"/>
        <v>-0.89059163377099071</v>
      </c>
      <c r="U54" s="19">
        <f t="shared" si="53"/>
        <v>-0.7578307119405836</v>
      </c>
      <c r="V54" s="19">
        <f t="shared" si="47"/>
        <v>-0.71562210876641164</v>
      </c>
    </row>
    <row r="55" spans="6:22" x14ac:dyDescent="0.25">
      <c r="F55" s="3"/>
      <c r="G55" s="11">
        <f t="shared" si="43"/>
        <v>0.4</v>
      </c>
      <c r="H55" s="20"/>
      <c r="I55" s="20"/>
      <c r="J55" s="20"/>
      <c r="K55" s="20"/>
      <c r="L55" s="20"/>
      <c r="M55" s="20"/>
      <c r="N55" s="28"/>
      <c r="O55" s="19">
        <f>(O13-P13)/($B$2)</f>
        <v>-3.1416989407734621</v>
      </c>
      <c r="P55" s="21">
        <f t="shared" ref="P55:U55" si="54">(O13-Q13)/(2*$B$2)</f>
        <v>-2.7264528316651524</v>
      </c>
      <c r="Q55" s="19">
        <f t="shared" si="54"/>
        <v>-1.9321998573976731</v>
      </c>
      <c r="R55" s="19">
        <f t="shared" si="54"/>
        <v>-1.3094013427784001</v>
      </c>
      <c r="S55" s="19">
        <f t="shared" si="54"/>
        <v>-0.92033845087107213</v>
      </c>
      <c r="T55" s="19">
        <f t="shared" si="54"/>
        <v>-0.69401048488194839</v>
      </c>
      <c r="U55" s="19">
        <f t="shared" si="54"/>
        <v>-0.5766122213445235</v>
      </c>
      <c r="V55" s="19">
        <f t="shared" si="47"/>
        <v>-0.54027068134899769</v>
      </c>
    </row>
    <row r="56" spans="6:22" x14ac:dyDescent="0.25">
      <c r="F56" s="3"/>
      <c r="G56" s="11">
        <f t="shared" si="43"/>
        <v>0.2</v>
      </c>
      <c r="H56" s="20"/>
      <c r="I56" s="20"/>
      <c r="J56" s="20"/>
      <c r="K56" s="20"/>
      <c r="L56" s="20"/>
      <c r="M56" s="20"/>
      <c r="N56" s="20"/>
      <c r="O56" s="28"/>
      <c r="P56" s="19">
        <f>(P14-Q14)/($B$2)</f>
        <v>-2.1832323911911389</v>
      </c>
      <c r="Q56" s="31">
        <f>(P14-R14)/(2*$B$2)</f>
        <v>-1.6400119507171254</v>
      </c>
      <c r="R56" s="19">
        <f>(Q14-S14)/(2*$B$2)</f>
        <v>-0.87376608389295862</v>
      </c>
      <c r="S56" s="19">
        <f>(R14-T14)/(2*$B$2)</f>
        <v>-0.5456510420763091</v>
      </c>
      <c r="T56" s="19">
        <f>(S14-U14)/(2*$B$2)</f>
        <v>-0.38849963354120581</v>
      </c>
      <c r="U56" s="19">
        <f>(T14-V14)/(2*$B$2)</f>
        <v>-0.31433700720656543</v>
      </c>
      <c r="V56" s="19">
        <f t="shared" si="47"/>
        <v>-0.29223617394053214</v>
      </c>
    </row>
    <row r="57" spans="6:22" x14ac:dyDescent="0.25">
      <c r="F57" s="3"/>
      <c r="G57" s="11">
        <v>0</v>
      </c>
      <c r="H57" s="20"/>
      <c r="I57" s="20"/>
      <c r="J57" s="20"/>
      <c r="K57" s="20"/>
      <c r="L57" s="20"/>
      <c r="M57" s="20"/>
      <c r="N57" s="20"/>
      <c r="O57" s="20"/>
      <c r="P57" s="28"/>
      <c r="Q57" s="19">
        <f>(Q15-R15)/($B$2)</f>
        <v>0</v>
      </c>
      <c r="R57" s="18">
        <f>(R15-S15)/($B$2)</f>
        <v>0</v>
      </c>
      <c r="S57" s="19">
        <f>(S15-T15)/($B$2)</f>
        <v>0</v>
      </c>
      <c r="T57" s="19">
        <f>(T15-U15)/($B$2)</f>
        <v>0</v>
      </c>
      <c r="U57" s="19">
        <f>(U15-V15)/($B$2)</f>
        <v>0</v>
      </c>
      <c r="V57" s="19">
        <f t="shared" si="47"/>
        <v>0</v>
      </c>
    </row>
    <row r="58" spans="6:22" x14ac:dyDescent="0.25">
      <c r="F58" s="3"/>
      <c r="G58" s="10"/>
      <c r="H58" s="11">
        <v>0</v>
      </c>
      <c r="I58" s="11">
        <f t="shared" ref="I58:V58" si="55">H58+$B$2</f>
        <v>0.2</v>
      </c>
      <c r="J58" s="11">
        <f t="shared" si="55"/>
        <v>0.4</v>
      </c>
      <c r="K58" s="11">
        <f t="shared" si="55"/>
        <v>0.60000000000000009</v>
      </c>
      <c r="L58" s="11">
        <f t="shared" si="55"/>
        <v>0.8</v>
      </c>
      <c r="M58" s="11">
        <f t="shared" si="55"/>
        <v>1</v>
      </c>
      <c r="N58" s="11">
        <f t="shared" si="55"/>
        <v>1.2</v>
      </c>
      <c r="O58" s="16">
        <f t="shared" si="55"/>
        <v>1.4</v>
      </c>
      <c r="P58" s="11">
        <f t="shared" si="55"/>
        <v>1.5999999999999999</v>
      </c>
      <c r="Q58" s="11">
        <f t="shared" si="55"/>
        <v>1.7999999999999998</v>
      </c>
      <c r="R58" s="11">
        <f t="shared" si="55"/>
        <v>1.9999999999999998</v>
      </c>
      <c r="S58" s="11">
        <f t="shared" si="55"/>
        <v>2.1999999999999997</v>
      </c>
      <c r="T58" s="11">
        <f t="shared" si="55"/>
        <v>2.4</v>
      </c>
      <c r="U58" s="11">
        <f t="shared" si="55"/>
        <v>2.6</v>
      </c>
      <c r="V58" s="11">
        <f t="shared" si="55"/>
        <v>2.8000000000000003</v>
      </c>
    </row>
    <row r="59" spans="6:22" x14ac:dyDescent="0.25">
      <c r="F59" s="3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</row>
    <row r="60" spans="6:22" x14ac:dyDescent="0.25">
      <c r="F60" s="3"/>
      <c r="G60" s="10"/>
      <c r="H60" s="11">
        <v>1</v>
      </c>
      <c r="I60" s="11">
        <v>2</v>
      </c>
      <c r="J60" s="11">
        <v>3</v>
      </c>
      <c r="K60" s="11">
        <v>4</v>
      </c>
      <c r="L60" s="11">
        <v>5</v>
      </c>
      <c r="M60" s="11">
        <v>6</v>
      </c>
      <c r="N60" s="11">
        <v>7</v>
      </c>
      <c r="O60" s="11">
        <v>8</v>
      </c>
      <c r="P60" s="11">
        <v>9</v>
      </c>
      <c r="Q60" s="11">
        <v>10</v>
      </c>
      <c r="R60" s="11">
        <v>11</v>
      </c>
      <c r="S60" s="11">
        <v>12</v>
      </c>
      <c r="T60" s="11">
        <v>13</v>
      </c>
      <c r="U60" s="11">
        <v>14</v>
      </c>
      <c r="V60" s="11">
        <v>15</v>
      </c>
    </row>
    <row r="61" spans="6:22" x14ac:dyDescent="0.25">
      <c r="F61" s="3"/>
      <c r="G61" s="11">
        <f t="shared" ref="G61:G70" si="56">G62+B$2</f>
        <v>1.9999999999999998</v>
      </c>
      <c r="H61" s="12">
        <f t="shared" ref="H61:V61" si="57">(H33^2+H47^2)^0.5</f>
        <v>10</v>
      </c>
      <c r="I61" s="12">
        <f t="shared" si="57"/>
        <v>9.8582767319405562</v>
      </c>
      <c r="J61" s="12">
        <f t="shared" si="57"/>
        <v>9.6756591466239161</v>
      </c>
      <c r="K61" s="12">
        <f t="shared" si="57"/>
        <v>9.4096348577020272</v>
      </c>
      <c r="L61" s="12">
        <f t="shared" si="57"/>
        <v>9.0239139480506481</v>
      </c>
      <c r="M61" s="12">
        <f t="shared" si="57"/>
        <v>8.515565028200065</v>
      </c>
      <c r="N61" s="12">
        <f t="shared" si="57"/>
        <v>7.9485462295957454</v>
      </c>
      <c r="O61" s="12">
        <f t="shared" si="57"/>
        <v>7.3892542421981844</v>
      </c>
      <c r="P61" s="12">
        <f t="shared" si="57"/>
        <v>6.8790489771887309</v>
      </c>
      <c r="Q61" s="12">
        <f t="shared" si="57"/>
        <v>6.4349676836739178</v>
      </c>
      <c r="R61" s="12">
        <f t="shared" si="57"/>
        <v>6.0578555531398592</v>
      </c>
      <c r="S61" s="12">
        <f t="shared" si="57"/>
        <v>5.7394572119467924</v>
      </c>
      <c r="T61" s="12">
        <f t="shared" si="57"/>
        <v>5.4669808788878793</v>
      </c>
      <c r="U61" s="12">
        <f t="shared" si="57"/>
        <v>5.2256558891081806</v>
      </c>
      <c r="V61" s="12">
        <f t="shared" si="57"/>
        <v>5</v>
      </c>
    </row>
    <row r="62" spans="6:22" x14ac:dyDescent="0.25">
      <c r="F62" s="3"/>
      <c r="G62" s="11">
        <f t="shared" si="56"/>
        <v>1.7999999999999998</v>
      </c>
      <c r="H62" s="12">
        <f t="shared" ref="H62:V62" si="58">(H34^2+H48^2)^0.5</f>
        <v>10.001004223812199</v>
      </c>
      <c r="I62" s="12">
        <f t="shared" si="58"/>
        <v>9.8800549063957153</v>
      </c>
      <c r="J62" s="12">
        <f t="shared" si="58"/>
        <v>9.7199513274839298</v>
      </c>
      <c r="K62" s="12">
        <f t="shared" si="58"/>
        <v>9.4750886233990226</v>
      </c>
      <c r="L62" s="12">
        <f t="shared" si="58"/>
        <v>9.0962193891588292</v>
      </c>
      <c r="M62" s="12">
        <f t="shared" si="58"/>
        <v>8.5618000086646529</v>
      </c>
      <c r="N62" s="12">
        <f t="shared" si="58"/>
        <v>7.964617327311176</v>
      </c>
      <c r="O62" s="12">
        <f t="shared" si="58"/>
        <v>7.3840992987640037</v>
      </c>
      <c r="P62" s="12">
        <f t="shared" si="58"/>
        <v>6.8625945236426471</v>
      </c>
      <c r="Q62" s="12">
        <f t="shared" si="58"/>
        <v>6.4146376021928777</v>
      </c>
      <c r="R62" s="12">
        <f t="shared" si="58"/>
        <v>6.038520495886174</v>
      </c>
      <c r="S62" s="12">
        <f t="shared" si="58"/>
        <v>5.7241254454170649</v>
      </c>
      <c r="T62" s="12">
        <f t="shared" si="58"/>
        <v>5.4574551471772281</v>
      </c>
      <c r="U62" s="12">
        <f t="shared" si="58"/>
        <v>5.2230429166014467</v>
      </c>
      <c r="V62" s="12">
        <f t="shared" si="58"/>
        <v>5.0050894677607118</v>
      </c>
    </row>
    <row r="63" spans="6:22" x14ac:dyDescent="0.25">
      <c r="F63" s="3"/>
      <c r="G63" s="11">
        <f t="shared" si="56"/>
        <v>1.5999999999999999</v>
      </c>
      <c r="H63" s="12">
        <f t="shared" ref="H63:V63" si="59">(H35^2+H49^2)^0.5</f>
        <v>10.002941146426622</v>
      </c>
      <c r="I63" s="12">
        <f t="shared" si="59"/>
        <v>9.9432741282084542</v>
      </c>
      <c r="J63" s="12">
        <f t="shared" si="59"/>
        <v>9.8540853509735484</v>
      </c>
      <c r="K63" s="12">
        <f t="shared" si="59"/>
        <v>9.6863560181451493</v>
      </c>
      <c r="L63" s="12">
        <f t="shared" si="59"/>
        <v>9.3484487958751021</v>
      </c>
      <c r="M63" s="12">
        <f t="shared" si="59"/>
        <v>8.7091297820651743</v>
      </c>
      <c r="N63" s="12">
        <f t="shared" si="59"/>
        <v>8.008017371336523</v>
      </c>
      <c r="O63" s="12">
        <f t="shared" si="59"/>
        <v>7.3613722314916554</v>
      </c>
      <c r="P63" s="12">
        <f t="shared" si="59"/>
        <v>6.8071986090865275</v>
      </c>
      <c r="Q63" s="12">
        <f t="shared" si="59"/>
        <v>6.3493256270521403</v>
      </c>
      <c r="R63" s="12">
        <f t="shared" si="59"/>
        <v>5.9775369933964564</v>
      </c>
      <c r="S63" s="12">
        <f t="shared" si="59"/>
        <v>5.6760370567002871</v>
      </c>
      <c r="T63" s="12">
        <f t="shared" si="59"/>
        <v>5.4272808353303414</v>
      </c>
      <c r="U63" s="12">
        <f t="shared" si="59"/>
        <v>5.2138020974279042</v>
      </c>
      <c r="V63" s="12">
        <f t="shared" si="59"/>
        <v>5.0189425721458942</v>
      </c>
    </row>
    <row r="64" spans="6:22" x14ac:dyDescent="0.25">
      <c r="F64" s="3"/>
      <c r="G64" s="11">
        <f t="shared" si="56"/>
        <v>1.4</v>
      </c>
      <c r="H64" s="12">
        <f t="shared" ref="H64:V64" si="60">(H36^2+H50^2)^0.5</f>
        <v>10.003463391355245</v>
      </c>
      <c r="I64" s="12">
        <f t="shared" si="60"/>
        <v>10.037711418271506</v>
      </c>
      <c r="J64" s="12">
        <f t="shared" si="60"/>
        <v>10.072321218462815</v>
      </c>
      <c r="K64" s="12">
        <f t="shared" si="60"/>
        <v>10.082652402993954</v>
      </c>
      <c r="L64" s="12">
        <f t="shared" si="60"/>
        <v>9.9360348143588855</v>
      </c>
      <c r="M64" s="12">
        <f t="shared" si="60"/>
        <v>8.9760965367009291</v>
      </c>
      <c r="N64" s="12">
        <f t="shared" si="60"/>
        <v>8.0563024281910156</v>
      </c>
      <c r="O64" s="12">
        <f t="shared" si="60"/>
        <v>7.2964931376884374</v>
      </c>
      <c r="P64" s="12">
        <f t="shared" si="60"/>
        <v>6.6944865903045949</v>
      </c>
      <c r="Q64" s="12">
        <f t="shared" si="60"/>
        <v>6.2264963541986802</v>
      </c>
      <c r="R64" s="12">
        <f t="shared" si="60"/>
        <v>5.8664829754418415</v>
      </c>
      <c r="S64" s="12">
        <f t="shared" si="60"/>
        <v>5.5893771270061272</v>
      </c>
      <c r="T64" s="12">
        <f t="shared" si="60"/>
        <v>5.3720684386222874</v>
      </c>
      <c r="U64" s="12">
        <f t="shared" si="60"/>
        <v>5.1940626422139236</v>
      </c>
      <c r="V64" s="12">
        <f t="shared" si="60"/>
        <v>5.0375712622427873</v>
      </c>
    </row>
    <row r="65" spans="6:22" x14ac:dyDescent="0.25">
      <c r="F65" s="3"/>
      <c r="G65" s="11">
        <f t="shared" si="56"/>
        <v>1.2</v>
      </c>
      <c r="H65" s="12">
        <f t="shared" ref="H65:V65" si="61">(H37^2+H51^2)^0.5</f>
        <v>10.001568397202652</v>
      </c>
      <c r="I65" s="12">
        <f t="shared" si="61"/>
        <v>10.134050989869134</v>
      </c>
      <c r="J65" s="12">
        <f t="shared" si="61"/>
        <v>10.324215152749575</v>
      </c>
      <c r="K65" s="12">
        <f t="shared" si="61"/>
        <v>10.664754489088825</v>
      </c>
      <c r="L65" s="12">
        <f t="shared" si="61"/>
        <v>11.399983854162077</v>
      </c>
      <c r="M65" s="12">
        <f t="shared" si="61"/>
        <v>9.3340324483563801</v>
      </c>
      <c r="N65" s="12">
        <f t="shared" si="61"/>
        <v>8.0421656561321271</v>
      </c>
      <c r="O65" s="12">
        <f t="shared" si="61"/>
        <v>7.1415587964030411</v>
      </c>
      <c r="P65" s="12">
        <f t="shared" si="61"/>
        <v>6.4945985651077072</v>
      </c>
      <c r="Q65" s="12">
        <f t="shared" si="61"/>
        <v>6.0273588193530543</v>
      </c>
      <c r="R65" s="12">
        <f t="shared" si="61"/>
        <v>5.6932306597087354</v>
      </c>
      <c r="S65" s="12">
        <f t="shared" si="61"/>
        <v>5.4560686322033556</v>
      </c>
      <c r="T65" s="12">
        <f t="shared" si="61"/>
        <v>5.2858813840158154</v>
      </c>
      <c r="U65" s="12">
        <f t="shared" si="61"/>
        <v>5.1585208447949276</v>
      </c>
      <c r="V65" s="12">
        <f t="shared" si="61"/>
        <v>5.0552198195616915</v>
      </c>
    </row>
    <row r="66" spans="6:22" x14ac:dyDescent="0.25">
      <c r="F66" s="3"/>
      <c r="G66" s="11">
        <f t="shared" si="56"/>
        <v>1</v>
      </c>
      <c r="H66" s="12">
        <f t="shared" ref="H66:V66" si="62">(H38^2+H52^2)^0.5</f>
        <v>10</v>
      </c>
      <c r="I66" s="12">
        <f t="shared" si="62"/>
        <v>10.177116921616323</v>
      </c>
      <c r="J66" s="12">
        <f t="shared" si="62"/>
        <v>10.445257082224934</v>
      </c>
      <c r="K66" s="12">
        <f t="shared" si="62"/>
        <v>10.970738130799992</v>
      </c>
      <c r="L66" s="12">
        <f t="shared" si="62"/>
        <v>12.622783314168201</v>
      </c>
      <c r="M66" s="12">
        <f t="shared" si="62"/>
        <v>9.5029388569063453</v>
      </c>
      <c r="N66" s="12">
        <f t="shared" si="62"/>
        <v>7.8147989666228046</v>
      </c>
      <c r="O66" s="12">
        <f t="shared" si="62"/>
        <v>6.8275909542710398</v>
      </c>
      <c r="P66" s="12">
        <f t="shared" si="62"/>
        <v>6.1735956764541253</v>
      </c>
      <c r="Q66" s="12">
        <f t="shared" si="62"/>
        <v>5.7318531868117004</v>
      </c>
      <c r="R66" s="12">
        <f t="shared" si="62"/>
        <v>5.4451560554987912</v>
      </c>
      <c r="S66" s="12">
        <f t="shared" si="62"/>
        <v>5.2682940353481849</v>
      </c>
      <c r="T66" s="12">
        <f t="shared" si="62"/>
        <v>5.1633973477740378</v>
      </c>
      <c r="U66" s="12">
        <f t="shared" si="62"/>
        <v>5.1022350258723277</v>
      </c>
      <c r="V66" s="12">
        <f t="shared" si="62"/>
        <v>5.0657635481176166</v>
      </c>
    </row>
    <row r="67" spans="6:22" x14ac:dyDescent="0.25">
      <c r="F67" s="3"/>
      <c r="G67" s="11">
        <f t="shared" si="56"/>
        <v>0.8</v>
      </c>
      <c r="H67" s="10"/>
      <c r="I67" s="10"/>
      <c r="J67" s="10"/>
      <c r="K67" s="10"/>
      <c r="L67" s="14"/>
      <c r="M67" s="13">
        <f t="shared" ref="M67:V67" si="63">(M39^2+M53^2)^0.5</f>
        <v>8.3148028031745671</v>
      </c>
      <c r="N67" s="12">
        <f t="shared" si="63"/>
        <v>7.1302132958288054</v>
      </c>
      <c r="O67" s="12">
        <f t="shared" si="63"/>
        <v>6.3054244475469439</v>
      </c>
      <c r="P67" s="12">
        <f t="shared" si="63"/>
        <v>5.7146418019434275</v>
      </c>
      <c r="Q67" s="12">
        <f t="shared" si="63"/>
        <v>5.3261861634478898</v>
      </c>
      <c r="R67" s="12">
        <f t="shared" si="63"/>
        <v>5.112917926351539</v>
      </c>
      <c r="S67" s="12">
        <f t="shared" si="63"/>
        <v>5.0218728147637881</v>
      </c>
      <c r="T67" s="12">
        <f t="shared" si="63"/>
        <v>5.0030328445921377</v>
      </c>
      <c r="U67" s="12">
        <f t="shared" si="63"/>
        <v>5.0231873020147244</v>
      </c>
      <c r="V67" s="12">
        <f t="shared" si="63"/>
        <v>5.0646355360674935</v>
      </c>
    </row>
    <row r="68" spans="6:22" x14ac:dyDescent="0.25">
      <c r="F68" s="3"/>
      <c r="G68" s="11">
        <f t="shared" si="56"/>
        <v>0.60000000000000009</v>
      </c>
      <c r="H68" s="10"/>
      <c r="I68" s="10"/>
      <c r="J68" s="10"/>
      <c r="K68" s="10"/>
      <c r="L68" s="10"/>
      <c r="M68" s="15"/>
      <c r="N68" s="13">
        <f t="shared" ref="N68:V68" si="64">(N40^2+N54^2)^0.5</f>
        <v>6.4054624401783071</v>
      </c>
      <c r="O68" s="12">
        <f t="shared" si="64"/>
        <v>5.6807743552879115</v>
      </c>
      <c r="P68" s="12">
        <f t="shared" si="64"/>
        <v>5.1423313890350819</v>
      </c>
      <c r="Q68" s="12">
        <f t="shared" si="64"/>
        <v>4.8023720852420597</v>
      </c>
      <c r="R68" s="12">
        <f t="shared" si="64"/>
        <v>4.6916031888036684</v>
      </c>
      <c r="S68" s="12">
        <f t="shared" si="64"/>
        <v>4.7204459872758839</v>
      </c>
      <c r="T68" s="12">
        <f t="shared" si="64"/>
        <v>4.8112605523403422</v>
      </c>
      <c r="U68" s="12">
        <f t="shared" si="64"/>
        <v>4.925505675275935</v>
      </c>
      <c r="V68" s="12">
        <f t="shared" si="64"/>
        <v>5.0509518907385456</v>
      </c>
    </row>
    <row r="69" spans="6:22" x14ac:dyDescent="0.25">
      <c r="F69" s="3"/>
      <c r="G69" s="11">
        <f t="shared" si="56"/>
        <v>0.4</v>
      </c>
      <c r="H69" s="10"/>
      <c r="I69" s="10"/>
      <c r="J69" s="10"/>
      <c r="K69" s="10"/>
      <c r="L69" s="10"/>
      <c r="M69" s="10"/>
      <c r="N69" s="15"/>
      <c r="O69" s="13">
        <f t="shared" ref="O69:V69" si="65">(O41^2+O55^2)^0.5</f>
        <v>5.0809043028767542</v>
      </c>
      <c r="P69" s="12">
        <f t="shared" si="65"/>
        <v>4.48167414379642</v>
      </c>
      <c r="Q69" s="12">
        <f t="shared" si="65"/>
        <v>4.1287120307964065</v>
      </c>
      <c r="R69" s="12">
        <f t="shared" si="65"/>
        <v>4.1802357755106945</v>
      </c>
      <c r="S69" s="12">
        <f t="shared" si="65"/>
        <v>4.3839094616286554</v>
      </c>
      <c r="T69" s="12">
        <f t="shared" si="65"/>
        <v>4.6090563211925062</v>
      </c>
      <c r="U69" s="12">
        <f t="shared" si="65"/>
        <v>4.8229001536551177</v>
      </c>
      <c r="V69" s="12">
        <f t="shared" si="65"/>
        <v>5.0291045335253584</v>
      </c>
    </row>
    <row r="70" spans="6:22" x14ac:dyDescent="0.25">
      <c r="F70" s="3"/>
      <c r="G70" s="11">
        <f t="shared" si="56"/>
        <v>0.2</v>
      </c>
      <c r="H70" s="10"/>
      <c r="I70" s="10"/>
      <c r="J70" s="10"/>
      <c r="K70" s="10"/>
      <c r="L70" s="10"/>
      <c r="M70" s="10"/>
      <c r="N70" s="10"/>
      <c r="O70" s="15"/>
      <c r="P70" s="13">
        <f t="shared" ref="P70:V70" si="66">(P42^2+P56^2)^0.5</f>
        <v>3.8258039558246151</v>
      </c>
      <c r="Q70" s="12">
        <f t="shared" si="66"/>
        <v>3.1816951836701639</v>
      </c>
      <c r="R70" s="12">
        <f t="shared" si="66"/>
        <v>3.6103769557003882</v>
      </c>
      <c r="S70" s="12">
        <f t="shared" si="66"/>
        <v>4.0725733851082921</v>
      </c>
      <c r="T70" s="12">
        <f t="shared" si="66"/>
        <v>4.4404156793728538</v>
      </c>
      <c r="U70" s="12">
        <f t="shared" si="66"/>
        <v>4.7402982447980975</v>
      </c>
      <c r="V70" s="12">
        <f t="shared" si="66"/>
        <v>5.0085329170685702</v>
      </c>
    </row>
    <row r="71" spans="6:22" x14ac:dyDescent="0.25">
      <c r="F71" s="3"/>
      <c r="G71" s="11">
        <v>0</v>
      </c>
      <c r="H71" s="10"/>
      <c r="I71" s="10"/>
      <c r="J71" s="10"/>
      <c r="K71" s="10"/>
      <c r="L71" s="10"/>
      <c r="M71" s="10"/>
      <c r="N71" s="10"/>
      <c r="O71" s="10"/>
      <c r="P71" s="14"/>
      <c r="Q71" s="13">
        <f t="shared" ref="Q71:V71" si="67">(Q43^2+Q57^2)^0.5</f>
        <v>2.1832323911911389</v>
      </c>
      <c r="R71" s="12">
        <f t="shared" si="67"/>
        <v>3.2800239014342507</v>
      </c>
      <c r="S71" s="12">
        <f t="shared" si="67"/>
        <v>3.9307645589770561</v>
      </c>
      <c r="T71" s="12">
        <f t="shared" si="67"/>
        <v>4.3713259855868687</v>
      </c>
      <c r="U71" s="12">
        <f t="shared" si="67"/>
        <v>4.7077638260594679</v>
      </c>
      <c r="V71" s="12">
        <f t="shared" si="67"/>
        <v>5</v>
      </c>
    </row>
    <row r="72" spans="6:22" x14ac:dyDescent="0.25">
      <c r="F72" s="3"/>
      <c r="G72" s="10"/>
      <c r="H72" s="11">
        <v>0</v>
      </c>
      <c r="I72" s="11">
        <f t="shared" ref="I72:V72" si="68">H72+$B$2</f>
        <v>0.2</v>
      </c>
      <c r="J72" s="11">
        <f t="shared" si="68"/>
        <v>0.4</v>
      </c>
      <c r="K72" s="11">
        <f t="shared" si="68"/>
        <v>0.60000000000000009</v>
      </c>
      <c r="L72" s="11">
        <f t="shared" si="68"/>
        <v>0.8</v>
      </c>
      <c r="M72" s="11">
        <f t="shared" si="68"/>
        <v>1</v>
      </c>
      <c r="N72" s="11">
        <f t="shared" si="68"/>
        <v>1.2</v>
      </c>
      <c r="O72" s="11">
        <f t="shared" si="68"/>
        <v>1.4</v>
      </c>
      <c r="P72" s="11">
        <f t="shared" si="68"/>
        <v>1.5999999999999999</v>
      </c>
      <c r="Q72" s="11">
        <f t="shared" si="68"/>
        <v>1.7999999999999998</v>
      </c>
      <c r="R72" s="11">
        <f t="shared" si="68"/>
        <v>1.9999999999999998</v>
      </c>
      <c r="S72" s="11">
        <f t="shared" si="68"/>
        <v>2.1999999999999997</v>
      </c>
      <c r="T72" s="11">
        <f t="shared" si="68"/>
        <v>2.4</v>
      </c>
      <c r="U72" s="11">
        <f t="shared" si="68"/>
        <v>2.6</v>
      </c>
      <c r="V72" s="11">
        <f t="shared" si="68"/>
        <v>2.8000000000000003</v>
      </c>
    </row>
  </sheetData>
  <conditionalFormatting sqref="H19:V29">
    <cfRule type="colorScale" priority="10">
      <colorScale>
        <cfvo type="min"/>
        <cfvo type="max"/>
        <color theme="4" tint="0.39997558519241921"/>
        <color rgb="FFFFFF00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2">
      <colorScale>
        <cfvo type="min"/>
        <cfvo type="max"/>
        <color rgb="FFBA6EA8"/>
        <color rgb="FFFFFF00"/>
      </colorScale>
    </cfRule>
    <cfRule type="colorScale" priority="3">
      <colorScale>
        <cfvo type="min"/>
        <cfvo type="max"/>
        <color theme="5" tint="0.39997558519241921"/>
        <color rgb="FFBA6EA8"/>
      </colorScale>
    </cfRule>
    <cfRule type="colorScale" priority="4">
      <colorScale>
        <cfvo type="min"/>
        <cfvo type="max"/>
        <color rgb="FFBA6EA8"/>
        <color rgb="FFBAA7F5"/>
      </colorScale>
    </cfRule>
    <cfRule type="colorScale" priority="5">
      <colorScale>
        <cfvo type="min"/>
        <cfvo type="max"/>
        <color theme="9"/>
        <color rgb="FFEDAFD5"/>
      </colorScale>
    </cfRule>
    <cfRule type="colorScale" priority="6">
      <colorScale>
        <cfvo type="min"/>
        <cfvo type="max"/>
        <color theme="4" tint="0.79998168889431442"/>
        <color theme="4"/>
      </colorScale>
    </cfRule>
    <cfRule type="colorScale" priority="7">
      <colorScale>
        <cfvo type="min"/>
        <cfvo type="max"/>
        <color theme="4" tint="0.59999389629810485"/>
        <color theme="4"/>
      </colorScale>
    </cfRule>
    <cfRule type="colorScale" priority="8">
      <colorScale>
        <cfvo type="min"/>
        <cfvo type="max"/>
        <color theme="4"/>
        <color theme="4" tint="0.59999389629810485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L53">
    <cfRule type="colorScale" priority="1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Моргунова</dc:creator>
  <cp:lastModifiedBy>Данил</cp:lastModifiedBy>
  <dcterms:created xsi:type="dcterms:W3CDTF">2021-05-16T19:11:29Z</dcterms:created>
  <dcterms:modified xsi:type="dcterms:W3CDTF">2021-05-28T14:58:22Z</dcterms:modified>
</cp:coreProperties>
</file>